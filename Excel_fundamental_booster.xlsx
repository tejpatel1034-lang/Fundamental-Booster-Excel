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cfd06f4b23d508c/Documents/Excel/Projects/Pr1 Fundatmental Booster-Excel/"/>
    </mc:Choice>
  </mc:AlternateContent>
  <xr:revisionPtr revIDLastSave="765" documentId="8_{CEC05E9C-2935-4C25-8E73-A30FDA6BFCF8}" xr6:coauthVersionLast="47" xr6:coauthVersionMax="47" xr10:uidLastSave="{B5344E08-B9C9-44BB-AB56-9BD7B0AFE0C6}"/>
  <bookViews>
    <workbookView xWindow="-120" yWindow="-120" windowWidth="29040" windowHeight="15720" activeTab="2" xr2:uid="{00000000-000D-0000-FFFF-FFFF00000000}"/>
  </bookViews>
  <sheets>
    <sheet name="Students Data" sheetId="1" r:id="rId1"/>
    <sheet name="Sales Data" sheetId="3" r:id="rId2"/>
    <sheet name="Employee Data" sheetId="4" r:id="rId3"/>
  </sheets>
  <definedNames>
    <definedName name="_xlcn.WorksheetConnection_EmployeeDataA1I221" hidden="1">'Employee Data'!$A$1:$I$22</definedName>
    <definedName name="_xlcn.WorksheetConnection_SalesDataA1L221" hidden="1">'Sales Data'!$A$1:$L$22</definedName>
  </definedNames>
  <calcPr calcId="191029"/>
  <pivotCaches>
    <pivotCache cacheId="27" r:id="rId4"/>
    <pivotCache cacheId="58" r:id="rId5"/>
    <pivotCache cacheId="95" r:id="rId6"/>
  </pivotCaches>
  <extLst>
    <ext xmlns:x15="http://schemas.microsoft.com/office/spreadsheetml/2010/11/main" uri="{841E416B-1EF1-43b6-AB56-02D37102CBD5}">
      <x15:pivotCaches>
        <pivotCache cacheId="133" r:id="rId7"/>
      </x15:pivotCaches>
    </ext>
    <ext xmlns:x15="http://schemas.microsoft.com/office/spreadsheetml/2010/11/main" uri="{983426D0-5260-488c-9760-48F4B6AC55F4}">
      <x15:pivotTableReferences>
        <x15:pivotTableReference r:id="rId8"/>
      </x15:pivotTableReferences>
    </ext>
    <ext xmlns:x15="http://schemas.microsoft.com/office/spreadsheetml/2010/11/main" uri="{FCE2AD5D-F65C-4FA6-A056-5C36A1767C68}">
      <x15:dataModel>
        <x15:modelTables>
          <x15:modelTable id="Range" name="Range" connection="WorksheetConnection_Sales Data!$A$1:$L$22"/>
          <x15:modelTable id="Range 1" name="Range 1" connection="WorksheetConnection_Employee Data!$A$1:$I$2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  <c r="K35" i="1"/>
  <c r="J29" i="1"/>
  <c r="E29" i="1"/>
  <c r="N32" i="1"/>
  <c r="P32" i="1"/>
  <c r="O34" i="1"/>
  <c r="H6" i="3"/>
  <c r="J6" i="3" s="1"/>
  <c r="K6" i="3"/>
  <c r="K5" i="4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3" i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3" i="4"/>
  <c r="O5" i="4"/>
  <c r="O32" i="3"/>
  <c r="O8" i="3"/>
  <c r="O17" i="3"/>
  <c r="H3" i="3"/>
  <c r="L3" i="3" s="1"/>
  <c r="O26" i="3"/>
  <c r="H4" i="3"/>
  <c r="I4" i="3" s="1"/>
  <c r="H5" i="3"/>
  <c r="I5" i="3" s="1"/>
  <c r="H7" i="3"/>
  <c r="J7" i="3" s="1"/>
  <c r="H8" i="3"/>
  <c r="J8" i="3" s="1"/>
  <c r="H9" i="3"/>
  <c r="J9" i="3" s="1"/>
  <c r="H10" i="3"/>
  <c r="I10" i="3" s="1"/>
  <c r="H11" i="3"/>
  <c r="L11" i="3" s="1"/>
  <c r="H12" i="3"/>
  <c r="L12" i="3" s="1"/>
  <c r="H13" i="3"/>
  <c r="L13" i="3" s="1"/>
  <c r="H14" i="3"/>
  <c r="L14" i="3" s="1"/>
  <c r="H15" i="3"/>
  <c r="K15" i="3" s="1"/>
  <c r="H16" i="3"/>
  <c r="I16" i="3" s="1"/>
  <c r="H17" i="3"/>
  <c r="I17" i="3" s="1"/>
  <c r="H18" i="3"/>
  <c r="I18" i="3" s="1"/>
  <c r="H19" i="3"/>
  <c r="J19" i="3" s="1"/>
  <c r="H20" i="3"/>
  <c r="J20" i="3" s="1"/>
  <c r="H21" i="3"/>
  <c r="J21" i="3" s="1"/>
  <c r="H22" i="3"/>
  <c r="I22" i="3" s="1"/>
  <c r="T7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3" i="1"/>
  <c r="T4" i="1"/>
  <c r="T5" i="1"/>
  <c r="T6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  <c r="I5" i="1"/>
  <c r="J5" i="1" s="1"/>
  <c r="L5" i="1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3" i="1"/>
  <c r="I4" i="1"/>
  <c r="J4" i="1" s="1"/>
  <c r="P4" i="1" s="1"/>
  <c r="Q4" i="1" s="1"/>
  <c r="R4" i="1" s="1"/>
  <c r="I6" i="1"/>
  <c r="J6" i="1" s="1"/>
  <c r="K6" i="1" s="1"/>
  <c r="I7" i="1"/>
  <c r="J7" i="1" s="1"/>
  <c r="K7" i="1" s="1"/>
  <c r="I8" i="1"/>
  <c r="J8" i="1" s="1"/>
  <c r="K8" i="1" s="1"/>
  <c r="I9" i="1"/>
  <c r="J9" i="1" s="1"/>
  <c r="L9" i="1" s="1"/>
  <c r="I10" i="1"/>
  <c r="J10" i="1" s="1"/>
  <c r="L10" i="1" s="1"/>
  <c r="I11" i="1"/>
  <c r="J11" i="1" s="1"/>
  <c r="L11" i="1" s="1"/>
  <c r="I12" i="1"/>
  <c r="J12" i="1" s="1"/>
  <c r="L12" i="1" s="1"/>
  <c r="I13" i="1"/>
  <c r="J13" i="1" s="1"/>
  <c r="K13" i="1" s="1"/>
  <c r="I14" i="1"/>
  <c r="J14" i="1" s="1"/>
  <c r="K14" i="1" s="1"/>
  <c r="I15" i="1"/>
  <c r="J15" i="1" s="1"/>
  <c r="K15" i="1" s="1"/>
  <c r="I16" i="1"/>
  <c r="J16" i="1" s="1"/>
  <c r="P16" i="1" s="1"/>
  <c r="Q16" i="1" s="1"/>
  <c r="R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L21" i="1" s="1"/>
  <c r="I22" i="1"/>
  <c r="J22" i="1" s="1"/>
  <c r="L22" i="1" s="1"/>
  <c r="I3" i="1"/>
  <c r="I13" i="3" l="1"/>
  <c r="I9" i="3"/>
  <c r="L6" i="3"/>
  <c r="I7" i="3"/>
  <c r="I6" i="3"/>
  <c r="J22" i="3"/>
  <c r="J10" i="3"/>
  <c r="J3" i="1"/>
  <c r="I15" i="3"/>
  <c r="L22" i="3"/>
  <c r="L10" i="3"/>
  <c r="J18" i="3"/>
  <c r="K14" i="3"/>
  <c r="L21" i="3"/>
  <c r="L9" i="3"/>
  <c r="J17" i="3"/>
  <c r="J5" i="3"/>
  <c r="K13" i="3"/>
  <c r="L20" i="3"/>
  <c r="L8" i="3"/>
  <c r="J16" i="3"/>
  <c r="J4" i="3"/>
  <c r="K12" i="3"/>
  <c r="I12" i="3"/>
  <c r="L19" i="3"/>
  <c r="L7" i="3"/>
  <c r="J15" i="3"/>
  <c r="K3" i="3"/>
  <c r="K11" i="3"/>
  <c r="I3" i="3"/>
  <c r="I11" i="3"/>
  <c r="L18" i="3"/>
  <c r="J14" i="3"/>
  <c r="K22" i="3"/>
  <c r="K10" i="3"/>
  <c r="L17" i="3"/>
  <c r="L5" i="3"/>
  <c r="J13" i="3"/>
  <c r="K21" i="3"/>
  <c r="K9" i="3"/>
  <c r="L16" i="3"/>
  <c r="L4" i="3"/>
  <c r="O11" i="3" s="1"/>
  <c r="J12" i="3"/>
  <c r="K20" i="3"/>
  <c r="K8" i="3"/>
  <c r="I14" i="3"/>
  <c r="I21" i="3"/>
  <c r="I20" i="3"/>
  <c r="I8" i="3"/>
  <c r="L15" i="3"/>
  <c r="J3" i="3"/>
  <c r="J11" i="3"/>
  <c r="K19" i="3"/>
  <c r="K7" i="3"/>
  <c r="K18" i="3"/>
  <c r="K17" i="3"/>
  <c r="K5" i="3"/>
  <c r="I19" i="3"/>
  <c r="K16" i="3"/>
  <c r="K4" i="3"/>
  <c r="C28" i="3" a="1"/>
  <c r="C28" i="3" s="1"/>
  <c r="O23" i="3" s="1"/>
  <c r="O20" i="3"/>
  <c r="O14" i="3"/>
  <c r="O29" i="3"/>
  <c r="L17" i="1"/>
  <c r="L15" i="1"/>
  <c r="L7" i="1"/>
  <c r="L6" i="1"/>
  <c r="L4" i="1"/>
  <c r="L19" i="1"/>
  <c r="L18" i="1"/>
  <c r="L16" i="1"/>
  <c r="L14" i="1"/>
  <c r="L13" i="1"/>
  <c r="L20" i="1"/>
  <c r="L8" i="1"/>
  <c r="K5" i="1"/>
  <c r="K16" i="1"/>
  <c r="P15" i="1"/>
  <c r="Q15" i="1" s="1"/>
  <c r="R15" i="1" s="1"/>
  <c r="P14" i="1"/>
  <c r="Q14" i="1" s="1"/>
  <c r="R14" i="1" s="1"/>
  <c r="K4" i="1"/>
  <c r="P13" i="1"/>
  <c r="Q13" i="1" s="1"/>
  <c r="R13" i="1" s="1"/>
  <c r="K3" i="1"/>
  <c r="K11" i="1"/>
  <c r="P11" i="1"/>
  <c r="Q11" i="1" s="1"/>
  <c r="R11" i="1" s="1"/>
  <c r="K22" i="1"/>
  <c r="P22" i="1"/>
  <c r="Q22" i="1" s="1"/>
  <c r="R22" i="1" s="1"/>
  <c r="K10" i="1"/>
  <c r="P10" i="1"/>
  <c r="Q10" i="1" s="1"/>
  <c r="R10" i="1" s="1"/>
  <c r="K21" i="1"/>
  <c r="P21" i="1"/>
  <c r="Q21" i="1" s="1"/>
  <c r="R21" i="1" s="1"/>
  <c r="K9" i="1"/>
  <c r="P9" i="1"/>
  <c r="Q9" i="1" s="1"/>
  <c r="R9" i="1" s="1"/>
  <c r="K12" i="1"/>
  <c r="P12" i="1"/>
  <c r="Q12" i="1" s="1"/>
  <c r="R12" i="1" s="1"/>
  <c r="P20" i="1"/>
  <c r="Q20" i="1" s="1"/>
  <c r="R20" i="1" s="1"/>
  <c r="P8" i="1"/>
  <c r="Q8" i="1" s="1"/>
  <c r="R8" i="1" s="1"/>
  <c r="P19" i="1"/>
  <c r="Q19" i="1" s="1"/>
  <c r="R19" i="1" s="1"/>
  <c r="P7" i="1"/>
  <c r="Q7" i="1" s="1"/>
  <c r="R7" i="1" s="1"/>
  <c r="P18" i="1"/>
  <c r="Q18" i="1" s="1"/>
  <c r="R18" i="1" s="1"/>
  <c r="P6" i="1"/>
  <c r="Q6" i="1" s="1"/>
  <c r="R6" i="1" s="1"/>
  <c r="P17" i="1"/>
  <c r="Q17" i="1" s="1"/>
  <c r="R17" i="1" s="1"/>
  <c r="P5" i="1"/>
  <c r="Q5" i="1" s="1"/>
  <c r="R5" i="1" s="1"/>
  <c r="C32" i="1" l="1"/>
  <c r="C31" i="1"/>
  <c r="C30" i="1"/>
  <c r="C29" i="1"/>
  <c r="C28" i="1"/>
  <c r="P3" i="1"/>
  <c r="Q3" i="1" s="1"/>
  <c r="R3" i="1" s="1"/>
  <c r="N29" i="1"/>
  <c r="N38" i="1"/>
  <c r="H29" i="1"/>
  <c r="E32" i="1"/>
  <c r="H32" i="1"/>
  <c r="J32" i="1"/>
  <c r="L3" i="1"/>
  <c r="O5" i="3"/>
  <c r="O8" i="4" l="1"/>
  <c r="M11" i="4"/>
  <c r="K8" i="4"/>
  <c r="E35" i="1" a="1"/>
  <c r="E3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FA0DCC-6A9E-4D65-BE24-DBA56E3D428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5E8E827-72BA-46D5-A4CF-6AC9F4BF7060}" name="WorksheetConnection_Employee Data!$A$1:$I$22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EmployeeDataA1I221"/>
        </x15:connection>
      </ext>
    </extLst>
  </connection>
  <connection id="3" xr16:uid="{08E8AC09-6A96-4E68-9A88-481CC24DE139}" name="WorksheetConnection_Sales Data!$A$1:$L$2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1L22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<sst xmlns="http://schemas.openxmlformats.org/spreadsheetml/2006/main" count="385" uniqueCount="196">
  <si>
    <t>Student ID</t>
  </si>
  <si>
    <t>Full Name</t>
  </si>
  <si>
    <t>Gender</t>
  </si>
  <si>
    <t>Course</t>
  </si>
  <si>
    <t>Math</t>
  </si>
  <si>
    <t>Science</t>
  </si>
  <si>
    <t>English</t>
  </si>
  <si>
    <t>Fees</t>
  </si>
  <si>
    <t>DOB</t>
  </si>
  <si>
    <t>Join Date</t>
  </si>
  <si>
    <t>ST001</t>
  </si>
  <si>
    <t>Tej Patel</t>
  </si>
  <si>
    <t>M</t>
  </si>
  <si>
    <t>AI</t>
  </si>
  <si>
    <t>ST002</t>
  </si>
  <si>
    <t>Diya Patel</t>
  </si>
  <si>
    <t>F</t>
  </si>
  <si>
    <t>ST003</t>
  </si>
  <si>
    <t>Vandita Patel</t>
  </si>
  <si>
    <t>ST004</t>
  </si>
  <si>
    <t>Krish Patel</t>
  </si>
  <si>
    <t>DS</t>
  </si>
  <si>
    <t>ST005</t>
  </si>
  <si>
    <t>Meet Shah</t>
  </si>
  <si>
    <t>ML</t>
  </si>
  <si>
    <t>ST006</t>
  </si>
  <si>
    <t>Priya Patel</t>
  </si>
  <si>
    <t>ST007</t>
  </si>
  <si>
    <t>Yash Patel</t>
  </si>
  <si>
    <t>ST008</t>
  </si>
  <si>
    <t>Riya Shah</t>
  </si>
  <si>
    <t>ST009</t>
  </si>
  <si>
    <t>Aarav Patel</t>
  </si>
  <si>
    <t>ST010</t>
  </si>
  <si>
    <t>Kavya Patel</t>
  </si>
  <si>
    <t>ST011</t>
  </si>
  <si>
    <t>Jay Patel</t>
  </si>
  <si>
    <t>ST012</t>
  </si>
  <si>
    <t>Neha Shah</t>
  </si>
  <si>
    <t>ST013</t>
  </si>
  <si>
    <t>Harsh Patel</t>
  </si>
  <si>
    <t>ST014</t>
  </si>
  <si>
    <t>Pooja Patel</t>
  </si>
  <si>
    <t>ST015</t>
  </si>
  <si>
    <t>Dev Patel</t>
  </si>
  <si>
    <t>ST016</t>
  </si>
  <si>
    <t>Mansi Patel</t>
  </si>
  <si>
    <t>ST017</t>
  </si>
  <si>
    <t>Dhruv Shah</t>
  </si>
  <si>
    <t>ST018</t>
  </si>
  <si>
    <t>Het Patel</t>
  </si>
  <si>
    <t>ST019</t>
  </si>
  <si>
    <t>Khushi Patel</t>
  </si>
  <si>
    <t>ST020</t>
  </si>
  <si>
    <t>Ronak Patel</t>
  </si>
  <si>
    <t>Total Marks</t>
  </si>
  <si>
    <t>Percentage</t>
  </si>
  <si>
    <t>Grade</t>
  </si>
  <si>
    <t>Disscount Amount</t>
  </si>
  <si>
    <t>Disscount %</t>
  </si>
  <si>
    <t>Final Fess</t>
  </si>
  <si>
    <t>80 up math&amp;sci</t>
  </si>
  <si>
    <t>Rank</t>
  </si>
  <si>
    <t>Student name</t>
  </si>
  <si>
    <t>First</t>
  </si>
  <si>
    <t>Second</t>
  </si>
  <si>
    <t>Third</t>
  </si>
  <si>
    <t>Fifth</t>
  </si>
  <si>
    <t>First Name</t>
  </si>
  <si>
    <t>Age</t>
  </si>
  <si>
    <t xml:space="preserve"> Since Join</t>
  </si>
  <si>
    <t>fourth</t>
  </si>
  <si>
    <t>Top Performace</t>
  </si>
  <si>
    <t>Student above 60 marks in maths</t>
  </si>
  <si>
    <t>Average Percenatge of AI students</t>
  </si>
  <si>
    <t>Top Students above 80%</t>
  </si>
  <si>
    <t>Total Students</t>
  </si>
  <si>
    <t>Avg Percentage</t>
  </si>
  <si>
    <t>Highest</t>
  </si>
  <si>
    <t>Lowest</t>
  </si>
  <si>
    <t>Product code</t>
  </si>
  <si>
    <t>Product</t>
  </si>
  <si>
    <t>Region</t>
  </si>
  <si>
    <t>Salesperson</t>
  </si>
  <si>
    <t>Month</t>
  </si>
  <si>
    <t>Unit Price</t>
  </si>
  <si>
    <t>Qty</t>
  </si>
  <si>
    <t>Total Sales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</si>
  <si>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</si>
  <si>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</si>
  <si>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</si>
  <si>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</si>
  <si>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</si>
  <si>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</si>
  <si>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</si>
  <si>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</si>
  <si>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</si>
  <si>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</si>
  <si>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</si>
  <si>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</si>
  <si>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</si>
  <si>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</si>
  <si>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</si>
  <si>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</si>
  <si>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</si>
  <si>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</si>
  <si>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</si>
  <si>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</si>
  <si>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Laptop</t>
  </si>
  <si>
    <t>Mouse</t>
  </si>
  <si>
    <t>Keyboard</t>
  </si>
  <si>
    <t>Moniter</t>
  </si>
  <si>
    <t>Printer</t>
  </si>
  <si>
    <t>North</t>
  </si>
  <si>
    <t>East</t>
  </si>
  <si>
    <t>West</t>
  </si>
  <si>
    <t>Jan</t>
  </si>
  <si>
    <t>Feb</t>
  </si>
  <si>
    <t>March</t>
  </si>
  <si>
    <t>April</t>
  </si>
  <si>
    <t>May</t>
  </si>
  <si>
    <t>June</t>
  </si>
  <si>
    <t>Sep</t>
  </si>
  <si>
    <t>Aug</t>
  </si>
  <si>
    <t>July</t>
  </si>
  <si>
    <t>Oct</t>
  </si>
  <si>
    <t>North Region Laptop Sales</t>
  </si>
  <si>
    <t>Product Code P005 Product price</t>
  </si>
  <si>
    <t>Salesperson Diya Patel ki Total Sales</t>
  </si>
  <si>
    <t>Laptop ki position</t>
  </si>
  <si>
    <t>First 5 Total Sales ka sum</t>
  </si>
  <si>
    <t>Celling Sales</t>
  </si>
  <si>
    <t>Round Sales</t>
  </si>
  <si>
    <t>Floor Sales</t>
  </si>
  <si>
    <t>Disscount</t>
  </si>
  <si>
    <t>South Region Orders Above ₹20,000</t>
  </si>
  <si>
    <t>Average Laptop Sales</t>
  </si>
  <si>
    <t>Find Unit Price by Product Code</t>
  </si>
  <si>
    <t>Sales by Salesperson</t>
  </si>
  <si>
    <t>Dashboard</t>
  </si>
  <si>
    <t>Position of products</t>
  </si>
  <si>
    <t>Only Laptop Records</t>
  </si>
  <si>
    <t>EMP ID</t>
  </si>
  <si>
    <t>Employee Name</t>
  </si>
  <si>
    <t>Department</t>
  </si>
  <si>
    <t>Date of Birth</t>
  </si>
  <si>
    <t>Date of Joining</t>
  </si>
  <si>
    <t>Salary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</si>
  <si>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</si>
  <si>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</si>
  <si>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</si>
  <si>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</si>
  <si>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</si>
  <si>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</si>
  <si>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</si>
  <si>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</si>
  <si>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</si>
  <si>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</si>
  <si>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</si>
  <si>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</si>
  <si>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</si>
  <si>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</si>
  <si>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</si>
  <si>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</si>
  <si>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</si>
  <si>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</si>
  <si>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</si>
  <si>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</si>
  <si>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IT</t>
  </si>
  <si>
    <t>HR</t>
  </si>
  <si>
    <t>Sales</t>
  </si>
  <si>
    <t>Finance</t>
  </si>
  <si>
    <t>Experience</t>
  </si>
  <si>
    <t>Days Since Joining</t>
  </si>
  <si>
    <t>Employee name of Employee 010</t>
  </si>
  <si>
    <t>Total salary of all employee</t>
  </si>
  <si>
    <t>F:F</t>
  </si>
  <si>
    <t>Average Salary (IT Department)</t>
  </si>
  <si>
    <t>HR Employees with Salary &gt;35000</t>
  </si>
  <si>
    <t>Salary by Employee Id 010</t>
  </si>
  <si>
    <t>South</t>
  </si>
  <si>
    <t>Pass student</t>
  </si>
  <si>
    <t>Fail Students</t>
  </si>
  <si>
    <t>Total Fees Collected</t>
  </si>
  <si>
    <t xml:space="preserve"> AI Student </t>
  </si>
  <si>
    <t>DS Student</t>
  </si>
  <si>
    <t>ML Student</t>
  </si>
  <si>
    <t>Total Fees Collected from AI student</t>
  </si>
  <si>
    <t>Row Labels</t>
  </si>
  <si>
    <t>Grand Total</t>
  </si>
  <si>
    <t>Sum of Total Sales</t>
  </si>
  <si>
    <t>Sum of Unit Price</t>
  </si>
  <si>
    <t>0 Years 0 Months</t>
  </si>
  <si>
    <t>1 Years 0 Months</t>
  </si>
  <si>
    <t>2 Years 0 Months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</si>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</sst>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8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4"/>
      </patternFill>
    </fill>
    <fill>
      <patternFill patternType="solid">
        <fgColor theme="7"/>
      </patternFill>
    </fill>
  </fills>
  <borders count="1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theme="4" tint="0.39997558519241921"/>
      </top>
      <bottom/>
      <diagonal/>
    </border>
  </borders>
  <cellStyleXfs count="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2" fillId="0" borderId="1" xfId="1" applyAlignment="1">
      <alignment horizontal="center"/>
    </xf>
    <xf numFmtId="0" fontId="1" fillId="5" borderId="0" xfId="5" applyAlignment="1">
      <alignment horizontal="center"/>
    </xf>
    <xf numFmtId="0" fontId="1" fillId="5" borderId="0" xfId="5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2" borderId="0" xfId="2" applyAlignment="1">
      <alignment horizontal="center"/>
    </xf>
    <xf numFmtId="0" fontId="4" fillId="3" borderId="0" xfId="3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6" fillId="7" borderId="0" xfId="7" applyFont="1" applyAlignment="1">
      <alignment horizontal="center" vertical="center"/>
    </xf>
    <xf numFmtId="0" fontId="6" fillId="7" borderId="0" xfId="7" applyFont="1" applyBorder="1" applyAlignment="1">
      <alignment horizontal="center" vertical="center"/>
    </xf>
    <xf numFmtId="164" fontId="3" fillId="2" borderId="0" xfId="2" applyNumberFormat="1" applyAlignment="1">
      <alignment horizontal="center"/>
    </xf>
    <xf numFmtId="164" fontId="4" fillId="3" borderId="0" xfId="3" applyNumberFormat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7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64" fontId="3" fillId="2" borderId="0" xfId="2" applyNumberFormat="1" applyAlignment="1">
      <alignment horizontal="center" vertical="center"/>
    </xf>
    <xf numFmtId="164" fontId="4" fillId="3" borderId="0" xfId="3" applyNumberFormat="1" applyAlignment="1">
      <alignment horizontal="center" vertical="center"/>
    </xf>
    <xf numFmtId="164" fontId="5" fillId="4" borderId="0" xfId="4" applyNumberFormat="1" applyAlignment="1">
      <alignment horizontal="center" vertical="center"/>
    </xf>
    <xf numFmtId="165" fontId="0" fillId="0" borderId="0" xfId="0" applyNumberFormat="1"/>
    <xf numFmtId="10" fontId="0" fillId="0" borderId="0" xfId="0" applyNumberFormat="1" applyAlignment="1">
      <alignment horizontal="center"/>
    </xf>
    <xf numFmtId="0" fontId="6" fillId="7" borderId="0" xfId="7" applyFont="1" applyAlignment="1">
      <alignment vertical="center"/>
    </xf>
    <xf numFmtId="0" fontId="0" fillId="0" borderId="0" xfId="0" applyAlignment="1">
      <alignment vertical="center"/>
    </xf>
    <xf numFmtId="0" fontId="2" fillId="0" borderId="0" xfId="1" applyBorder="1" applyAlignment="1">
      <alignment vertical="center"/>
    </xf>
    <xf numFmtId="0" fontId="2" fillId="0" borderId="1" xfId="1" applyAlignment="1">
      <alignment vertical="center"/>
    </xf>
    <xf numFmtId="164" fontId="6" fillId="7" borderId="0" xfId="7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6" fillId="7" borderId="0" xfId="7" applyNumberFormat="1" applyFont="1" applyAlignment="1">
      <alignment horizontal="center" vertical="center"/>
    </xf>
    <xf numFmtId="10" fontId="2" fillId="0" borderId="1" xfId="1" applyNumberFormat="1" applyAlignment="1">
      <alignment horizontal="center"/>
    </xf>
    <xf numFmtId="164" fontId="2" fillId="0" borderId="1" xfId="1" applyNumberFormat="1" applyAlignment="1">
      <alignment horizontal="center"/>
    </xf>
    <xf numFmtId="0" fontId="6" fillId="6" borderId="3" xfId="6" applyFont="1" applyBorder="1" applyAlignment="1">
      <alignment horizontal="center" vertical="center"/>
    </xf>
    <xf numFmtId="0" fontId="6" fillId="6" borderId="6" xfId="6" applyFont="1" applyBorder="1" applyAlignment="1">
      <alignment horizontal="center" vertical="center"/>
    </xf>
    <xf numFmtId="0" fontId="6" fillId="6" borderId="5" xfId="6" applyFont="1" applyBorder="1" applyAlignment="1">
      <alignment horizontal="center" vertical="center"/>
    </xf>
    <xf numFmtId="0" fontId="6" fillId="6" borderId="2" xfId="6" applyFont="1" applyBorder="1" applyAlignment="1">
      <alignment horizontal="center" vertical="center"/>
    </xf>
    <xf numFmtId="0" fontId="6" fillId="6" borderId="8" xfId="6" applyFont="1" applyBorder="1" applyAlignment="1">
      <alignment horizontal="center" vertical="center"/>
    </xf>
    <xf numFmtId="164" fontId="6" fillId="6" borderId="2" xfId="6" applyNumberFormat="1" applyFont="1" applyBorder="1" applyAlignment="1">
      <alignment horizontal="center" vertical="center"/>
    </xf>
    <xf numFmtId="164" fontId="6" fillId="6" borderId="8" xfId="6" applyNumberFormat="1" applyFont="1" applyBorder="1" applyAlignment="1">
      <alignment horizontal="center" vertical="center"/>
    </xf>
    <xf numFmtId="10" fontId="6" fillId="6" borderId="5" xfId="6" applyNumberFormat="1" applyFont="1" applyBorder="1" applyAlignment="1">
      <alignment horizontal="center" vertical="center"/>
    </xf>
    <xf numFmtId="10" fontId="6" fillId="6" borderId="6" xfId="6" applyNumberFormat="1" applyFont="1" applyBorder="1" applyAlignment="1">
      <alignment horizontal="center" vertical="center"/>
    </xf>
    <xf numFmtId="164" fontId="6" fillId="6" borderId="3" xfId="6" applyNumberFormat="1" applyFont="1" applyBorder="1" applyAlignment="1">
      <alignment horizontal="center" vertical="center"/>
    </xf>
    <xf numFmtId="164" fontId="6" fillId="6" borderId="6" xfId="6" applyNumberFormat="1" applyFont="1" applyBorder="1" applyAlignment="1">
      <alignment horizontal="center" vertical="center"/>
    </xf>
    <xf numFmtId="14" fontId="6" fillId="6" borderId="3" xfId="6" applyNumberFormat="1" applyFont="1" applyBorder="1" applyAlignment="1">
      <alignment horizontal="center" vertical="center"/>
    </xf>
    <xf numFmtId="14" fontId="6" fillId="6" borderId="4" xfId="6" applyNumberFormat="1" applyFont="1" applyBorder="1" applyAlignment="1">
      <alignment horizontal="center" vertical="center"/>
    </xf>
    <xf numFmtId="165" fontId="6" fillId="6" borderId="3" xfId="6" applyNumberFormat="1" applyFont="1" applyBorder="1" applyAlignment="1">
      <alignment horizontal="center" vertical="center"/>
    </xf>
    <xf numFmtId="165" fontId="6" fillId="6" borderId="6" xfId="6" applyNumberFormat="1" applyFont="1" applyBorder="1" applyAlignment="1">
      <alignment horizontal="center" vertical="center"/>
    </xf>
    <xf numFmtId="0" fontId="6" fillId="6" borderId="4" xfId="6" applyFont="1" applyBorder="1" applyAlignment="1">
      <alignment horizontal="center" vertical="center"/>
    </xf>
    <xf numFmtId="0" fontId="6" fillId="6" borderId="9" xfId="6" applyFont="1" applyBorder="1" applyAlignment="1">
      <alignment horizontal="center" vertical="center"/>
    </xf>
    <xf numFmtId="0" fontId="6" fillId="6" borderId="3" xfId="6" applyNumberFormat="1" applyFont="1" applyBorder="1" applyAlignment="1">
      <alignment horizontal="center" vertical="center"/>
    </xf>
    <xf numFmtId="0" fontId="6" fillId="6" borderId="6" xfId="6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0" borderId="1" xfId="1" applyAlignment="1">
      <alignment horizontal="center"/>
    </xf>
    <xf numFmtId="164" fontId="1" fillId="5" borderId="0" xfId="5" applyNumberFormat="1" applyAlignment="1">
      <alignment horizontal="center"/>
    </xf>
    <xf numFmtId="0" fontId="10" fillId="7" borderId="0" xfId="7" applyFont="1" applyAlignment="1">
      <alignment horizontal="center" vertical="center"/>
    </xf>
    <xf numFmtId="0" fontId="3" fillId="2" borderId="10" xfId="2" applyBorder="1" applyAlignment="1">
      <alignment horizontal="center"/>
    </xf>
    <xf numFmtId="0" fontId="4" fillId="3" borderId="10" xfId="3" applyBorder="1" applyAlignment="1">
      <alignment horizontal="center"/>
    </xf>
    <xf numFmtId="0" fontId="5" fillId="4" borderId="10" xfId="4" applyBorder="1" applyAlignment="1">
      <alignment horizontal="center"/>
    </xf>
    <xf numFmtId="164" fontId="1" fillId="5" borderId="10" xfId="5" applyNumberFormat="1" applyBorder="1" applyAlignment="1">
      <alignment horizontal="center"/>
    </xf>
    <xf numFmtId="0" fontId="1" fillId="5" borderId="10" xfId="5" applyBorder="1" applyAlignment="1">
      <alignment horizontal="center"/>
    </xf>
    <xf numFmtId="0" fontId="2" fillId="0" borderId="0" xfId="1" applyBorder="1" applyAlignment="1">
      <alignment horizontal="center"/>
    </xf>
    <xf numFmtId="0" fontId="5" fillId="4" borderId="0" xfId="4" applyAlignment="1">
      <alignment horizontal="center"/>
    </xf>
    <xf numFmtId="0" fontId="6" fillId="7" borderId="0" xfId="7" applyNumberFormat="1" applyFont="1" applyAlignment="1">
      <alignment horizontal="center" vertical="center"/>
    </xf>
    <xf numFmtId="0" fontId="6" fillId="7" borderId="0" xfId="7" applyFont="1" applyAlignment="1">
      <alignment horizontal="center" vertical="center"/>
    </xf>
    <xf numFmtId="2" fontId="6" fillId="7" borderId="0" xfId="7" applyNumberFormat="1" applyFont="1" applyAlignment="1">
      <alignment horizontal="center" vertical="center"/>
    </xf>
    <xf numFmtId="0" fontId="9" fillId="8" borderId="0" xfId="8" applyFont="1" applyAlignment="1">
      <alignment horizontal="center" vertical="center"/>
    </xf>
    <xf numFmtId="0" fontId="1" fillId="5" borderId="0" xfId="5" applyBorder="1" applyAlignment="1">
      <alignment horizontal="center"/>
    </xf>
    <xf numFmtId="0" fontId="1" fillId="5" borderId="0" xfId="5" applyAlignment="1">
      <alignment horizontal="center"/>
    </xf>
    <xf numFmtId="164" fontId="6" fillId="7" borderId="0" xfId="7" applyNumberFormat="1" applyFont="1" applyAlignment="1">
      <alignment horizontal="center" vertical="center"/>
    </xf>
    <xf numFmtId="0" fontId="6" fillId="7" borderId="0" xfId="7" applyFont="1" applyAlignment="1">
      <alignment vertical="center"/>
    </xf>
    <xf numFmtId="0" fontId="6" fillId="7" borderId="0" xfId="7" applyFont="1" applyBorder="1" applyAlignment="1">
      <alignment horizontal="center" vertical="center"/>
    </xf>
    <xf numFmtId="164" fontId="6" fillId="8" borderId="0" xfId="8" applyNumberFormat="1" applyFont="1" applyAlignment="1">
      <alignment horizontal="center" vertical="center"/>
    </xf>
    <xf numFmtId="0" fontId="6" fillId="8" borderId="0" xfId="8" applyFont="1" applyAlignment="1">
      <alignment horizontal="center" vertical="center"/>
    </xf>
    <xf numFmtId="165" fontId="6" fillId="8" borderId="0" xfId="8" applyNumberFormat="1" applyFont="1" applyAlignment="1">
      <alignment horizontal="center" vertical="center"/>
    </xf>
    <xf numFmtId="0" fontId="1" fillId="5" borderId="0" xfId="5" applyBorder="1" applyAlignment="1">
      <alignment horizontal="center" vertical="center"/>
    </xf>
    <xf numFmtId="0" fontId="11" fillId="2" borderId="0" xfId="2" applyFont="1" applyAlignment="1">
      <alignment horizontal="center" vertical="center"/>
    </xf>
    <xf numFmtId="0" fontId="2" fillId="0" borderId="1" xfId="1" applyAlignment="1">
      <alignment horizontal="center" vertical="center"/>
    </xf>
    <xf numFmtId="164" fontId="1" fillId="5" borderId="0" xfId="5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2" fillId="0" borderId="1" xfId="1" applyAlignment="1"/>
  </cellXfs>
  <cellStyles count="9">
    <cellStyle name="20% - Accent1" xfId="5" builtinId="30"/>
    <cellStyle name="Accent1" xfId="7" builtinId="29"/>
    <cellStyle name="Accent2" xfId="6" builtinId="33"/>
    <cellStyle name="Accent4" xfId="8" builtinId="41"/>
    <cellStyle name="Bad" xfId="3" builtinId="27"/>
    <cellStyle name="Good" xfId="2" builtinId="26"/>
    <cellStyle name="Heading 3" xfId="1" builtinId="18"/>
    <cellStyle name="Neutral" xfId="4" builtinId="28"/>
    <cellStyle name="Normal" xfId="0" builtinId="0"/>
  </cellStyles>
  <dxfs count="4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65" formatCode="[$-F800]dddd\,\ mmmm\ dd\,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Table" Target="pivotTables/pivotTable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5" Type="http://schemas.microsoft.com/office/2017/10/relationships/person" Target="persons/person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</a:t>
            </a:r>
            <a:r>
              <a:rPr lang="en-IN" baseline="0"/>
              <a:t> Marks Comparison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87895669291338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'Students Data'!$I$1</c:f>
              <c:strCache>
                <c:ptCount val="1"/>
                <c:pt idx="0">
                  <c:v>Total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'Students Data'!$C$2:$C$22</c:f>
              <c:strCache>
                <c:ptCount val="21"/>
                <c:pt idx="1">
                  <c:v>Tej</c:v>
                </c:pt>
                <c:pt idx="2">
                  <c:v>Diya</c:v>
                </c:pt>
                <c:pt idx="3">
                  <c:v>Vandita</c:v>
                </c:pt>
                <c:pt idx="4">
                  <c:v>Krish</c:v>
                </c:pt>
                <c:pt idx="5">
                  <c:v>Meet</c:v>
                </c:pt>
                <c:pt idx="6">
                  <c:v>Priya</c:v>
                </c:pt>
                <c:pt idx="7">
                  <c:v>Yash</c:v>
                </c:pt>
                <c:pt idx="8">
                  <c:v>Riya</c:v>
                </c:pt>
                <c:pt idx="9">
                  <c:v>Aarav</c:v>
                </c:pt>
                <c:pt idx="10">
                  <c:v>Kavya</c:v>
                </c:pt>
                <c:pt idx="11">
                  <c:v>Jay</c:v>
                </c:pt>
                <c:pt idx="12">
                  <c:v>Neha</c:v>
                </c:pt>
                <c:pt idx="13">
                  <c:v>Harsh</c:v>
                </c:pt>
                <c:pt idx="14">
                  <c:v>Pooja</c:v>
                </c:pt>
                <c:pt idx="15">
                  <c:v>Dev</c:v>
                </c:pt>
                <c:pt idx="16">
                  <c:v>Mansi</c:v>
                </c:pt>
                <c:pt idx="17">
                  <c:v>Dhruv</c:v>
                </c:pt>
                <c:pt idx="18">
                  <c:v>Het</c:v>
                </c:pt>
                <c:pt idx="19">
                  <c:v>Khushi</c:v>
                </c:pt>
                <c:pt idx="20">
                  <c:v>Ronak</c:v>
                </c:pt>
              </c:strCache>
            </c:strRef>
          </c:cat>
          <c:val>
            <c:numRef>
              <c:f>'Students Data'!$I$2:$I$22</c:f>
              <c:numCache>
                <c:formatCode>General</c:formatCode>
                <c:ptCount val="21"/>
                <c:pt idx="1">
                  <c:v>291</c:v>
                </c:pt>
                <c:pt idx="2">
                  <c:v>288</c:v>
                </c:pt>
                <c:pt idx="3">
                  <c:v>285</c:v>
                </c:pt>
                <c:pt idx="4">
                  <c:v>264</c:v>
                </c:pt>
                <c:pt idx="5">
                  <c:v>247</c:v>
                </c:pt>
                <c:pt idx="6">
                  <c:v>240</c:v>
                </c:pt>
                <c:pt idx="7">
                  <c:v>217</c:v>
                </c:pt>
                <c:pt idx="8">
                  <c:v>203</c:v>
                </c:pt>
                <c:pt idx="9">
                  <c:v>186</c:v>
                </c:pt>
                <c:pt idx="10">
                  <c:v>173</c:v>
                </c:pt>
                <c:pt idx="11">
                  <c:v>157</c:v>
                </c:pt>
                <c:pt idx="12">
                  <c:v>143</c:v>
                </c:pt>
                <c:pt idx="13">
                  <c:v>246</c:v>
                </c:pt>
                <c:pt idx="14">
                  <c:v>267</c:v>
                </c:pt>
                <c:pt idx="15">
                  <c:v>282</c:v>
                </c:pt>
                <c:pt idx="16">
                  <c:v>281</c:v>
                </c:pt>
                <c:pt idx="17">
                  <c:v>234</c:v>
                </c:pt>
                <c:pt idx="18">
                  <c:v>204</c:v>
                </c:pt>
                <c:pt idx="19">
                  <c:v>270</c:v>
                </c:pt>
                <c:pt idx="20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B-432D-AD02-CA5476A29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311952"/>
        <c:axId val="425312432"/>
      </c:barChart>
      <c:catAx>
        <c:axId val="42531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12432"/>
        <c:crosses val="autoZero"/>
        <c:auto val="1"/>
        <c:lblAlgn val="ctr"/>
        <c:lblOffset val="100"/>
        <c:noMultiLvlLbl val="0"/>
      </c:catAx>
      <c:valAx>
        <c:axId val="4253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1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Vise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Data'!$H$1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'Sales Data'!$B$2:$B$22</c:f>
              <c:strCache>
                <c:ptCount val="21"/>
                <c:pt idx="1">
                  <c:v>Laptop</c:v>
                </c:pt>
                <c:pt idx="2">
                  <c:v>Mouse</c:v>
                </c:pt>
                <c:pt idx="3">
                  <c:v>Keyboard</c:v>
                </c:pt>
                <c:pt idx="4">
                  <c:v>Moniter</c:v>
                </c:pt>
                <c:pt idx="5">
                  <c:v>Printer</c:v>
                </c:pt>
                <c:pt idx="6">
                  <c:v>Laptop</c:v>
                </c:pt>
                <c:pt idx="7">
                  <c:v>Mouse</c:v>
                </c:pt>
                <c:pt idx="8">
                  <c:v>Keyboard</c:v>
                </c:pt>
                <c:pt idx="9">
                  <c:v>Moniter</c:v>
                </c:pt>
                <c:pt idx="10">
                  <c:v>Printer</c:v>
                </c:pt>
                <c:pt idx="11">
                  <c:v>Laptop</c:v>
                </c:pt>
                <c:pt idx="12">
                  <c:v>Mouse</c:v>
                </c:pt>
                <c:pt idx="13">
                  <c:v>Keyboard</c:v>
                </c:pt>
                <c:pt idx="14">
                  <c:v>Moniter</c:v>
                </c:pt>
                <c:pt idx="15">
                  <c:v>Printer</c:v>
                </c:pt>
                <c:pt idx="16">
                  <c:v>Laptop</c:v>
                </c:pt>
                <c:pt idx="17">
                  <c:v>Mouse</c:v>
                </c:pt>
                <c:pt idx="18">
                  <c:v>Keyboard</c:v>
                </c:pt>
                <c:pt idx="19">
                  <c:v>Moniter</c:v>
                </c:pt>
                <c:pt idx="20">
                  <c:v>Printer</c:v>
                </c:pt>
              </c:strCache>
            </c:strRef>
          </c:cat>
          <c:val>
            <c:numRef>
              <c:f>'Sales Data'!$H$2:$H$22</c:f>
              <c:numCache>
                <c:formatCode>"₹"\ #,##0.00</c:formatCode>
                <c:ptCount val="21"/>
                <c:pt idx="1">
                  <c:v>110000</c:v>
                </c:pt>
                <c:pt idx="2">
                  <c:v>12000</c:v>
                </c:pt>
                <c:pt idx="3">
                  <c:v>15000</c:v>
                </c:pt>
                <c:pt idx="4">
                  <c:v>36000</c:v>
                </c:pt>
                <c:pt idx="5">
                  <c:v>36000</c:v>
                </c:pt>
                <c:pt idx="6">
                  <c:v>60000</c:v>
                </c:pt>
                <c:pt idx="7">
                  <c:v>15000</c:v>
                </c:pt>
                <c:pt idx="8">
                  <c:v>14400</c:v>
                </c:pt>
                <c:pt idx="9">
                  <c:v>52000</c:v>
                </c:pt>
                <c:pt idx="10">
                  <c:v>180000</c:v>
                </c:pt>
                <c:pt idx="11">
                  <c:v>1500</c:v>
                </c:pt>
                <c:pt idx="12">
                  <c:v>32400</c:v>
                </c:pt>
                <c:pt idx="13">
                  <c:v>117000</c:v>
                </c:pt>
                <c:pt idx="14">
                  <c:v>85000</c:v>
                </c:pt>
                <c:pt idx="15">
                  <c:v>116000</c:v>
                </c:pt>
                <c:pt idx="16">
                  <c:v>850</c:v>
                </c:pt>
                <c:pt idx="17">
                  <c:v>19200</c:v>
                </c:pt>
                <c:pt idx="18">
                  <c:v>87500</c:v>
                </c:pt>
                <c:pt idx="19">
                  <c:v>52500</c:v>
                </c:pt>
                <c:pt idx="20">
                  <c:v>124000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EC-4B34-A99E-4E0B37098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00137040"/>
        <c:axId val="400134160"/>
      </c:barChart>
      <c:catAx>
        <c:axId val="40013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34160"/>
        <c:crosses val="autoZero"/>
        <c:auto val="1"/>
        <c:lblAlgn val="ctr"/>
        <c:lblOffset val="100"/>
        <c:noMultiLvlLbl val="0"/>
      </c:catAx>
      <c:valAx>
        <c:axId val="40013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3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[Excel_fundamental_booster.xlsx]Sales Data!PivotTable5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455358908789712E-2"/>
          <c:y val="8.5000977310068712E-2"/>
          <c:w val="0.80096327593923655"/>
          <c:h val="0.734545657111598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Data'!$AB$40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Data'!$AA$41:$AA$66</c:f>
              <c:multiLvlStrCache>
                <c:ptCount val="20"/>
                <c:lvl>
                  <c:pt idx="0">
                    <c:v>April</c:v>
                  </c:pt>
                  <c:pt idx="1">
                    <c:v>Feb</c:v>
                  </c:pt>
                  <c:pt idx="2">
                    <c:v>Sep</c:v>
                  </c:pt>
                  <c:pt idx="3">
                    <c:v>July</c:v>
                  </c:pt>
                  <c:pt idx="4">
                    <c:v>March</c:v>
                  </c:pt>
                  <c:pt idx="5">
                    <c:v>Jan</c:v>
                  </c:pt>
                  <c:pt idx="6">
                    <c:v>Aug</c:v>
                  </c:pt>
                  <c:pt idx="7">
                    <c:v>June</c:v>
                  </c:pt>
                  <c:pt idx="8">
                    <c:v>Feb</c:v>
                  </c:pt>
                  <c:pt idx="9">
                    <c:v>May</c:v>
                  </c:pt>
                  <c:pt idx="10">
                    <c:v>Oct</c:v>
                  </c:pt>
                  <c:pt idx="11">
                    <c:v>July</c:v>
                  </c:pt>
                  <c:pt idx="12">
                    <c:v>April</c:v>
                  </c:pt>
                  <c:pt idx="13">
                    <c:v>Jan</c:v>
                  </c:pt>
                  <c:pt idx="14">
                    <c:v>Sep</c:v>
                  </c:pt>
                  <c:pt idx="15">
                    <c:v>June</c:v>
                  </c:pt>
                  <c:pt idx="16">
                    <c:v>March</c:v>
                  </c:pt>
                  <c:pt idx="17">
                    <c:v>May</c:v>
                  </c:pt>
                  <c:pt idx="18">
                    <c:v>Aug</c:v>
                  </c:pt>
                  <c:pt idx="19">
                    <c:v>Oct</c:v>
                  </c:pt>
                </c:lvl>
                <c:lvl>
                  <c:pt idx="0">
                    <c:v>Keyboard</c:v>
                  </c:pt>
                  <c:pt idx="4">
                    <c:v>Laptop</c:v>
                  </c:pt>
                  <c:pt idx="8">
                    <c:v>Moniter</c:v>
                  </c:pt>
                  <c:pt idx="12">
                    <c:v>Mouse</c:v>
                  </c:pt>
                  <c:pt idx="16">
                    <c:v>Printer</c:v>
                  </c:pt>
                </c:lvl>
              </c:multiLvlStrCache>
            </c:multiLvlStrRef>
          </c:cat>
          <c:val>
            <c:numRef>
              <c:f>'Sales Data'!$AB$41:$AB$66</c:f>
              <c:numCache>
                <c:formatCode>General</c:formatCode>
                <c:ptCount val="20"/>
                <c:pt idx="0">
                  <c:v>14400</c:v>
                </c:pt>
                <c:pt idx="1">
                  <c:v>15000</c:v>
                </c:pt>
                <c:pt idx="2">
                  <c:v>87500</c:v>
                </c:pt>
                <c:pt idx="3">
                  <c:v>117000</c:v>
                </c:pt>
                <c:pt idx="4">
                  <c:v>60000</c:v>
                </c:pt>
                <c:pt idx="5">
                  <c:v>110000</c:v>
                </c:pt>
                <c:pt idx="6">
                  <c:v>850</c:v>
                </c:pt>
                <c:pt idx="7">
                  <c:v>1500</c:v>
                </c:pt>
                <c:pt idx="8">
                  <c:v>36000</c:v>
                </c:pt>
                <c:pt idx="9">
                  <c:v>52000</c:v>
                </c:pt>
                <c:pt idx="10">
                  <c:v>52500</c:v>
                </c:pt>
                <c:pt idx="11">
                  <c:v>85000</c:v>
                </c:pt>
                <c:pt idx="12">
                  <c:v>15000</c:v>
                </c:pt>
                <c:pt idx="13">
                  <c:v>12000</c:v>
                </c:pt>
                <c:pt idx="14">
                  <c:v>19200</c:v>
                </c:pt>
                <c:pt idx="15">
                  <c:v>32400</c:v>
                </c:pt>
                <c:pt idx="16">
                  <c:v>36000</c:v>
                </c:pt>
                <c:pt idx="17">
                  <c:v>180000</c:v>
                </c:pt>
                <c:pt idx="18">
                  <c:v>116000</c:v>
                </c:pt>
                <c:pt idx="19">
                  <c:v>124000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F-488F-BACB-A864B26C54CF}"/>
            </c:ext>
          </c:extLst>
        </c:ser>
        <c:ser>
          <c:idx val="1"/>
          <c:order val="1"/>
          <c:tx>
            <c:strRef>
              <c:f>'Sales Data'!$AC$40</c:f>
              <c:strCache>
                <c:ptCount val="1"/>
                <c:pt idx="0">
                  <c:v>Sum of 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'Sales Data'!$AA$41:$AA$66</c:f>
              <c:multiLvlStrCache>
                <c:ptCount val="20"/>
                <c:lvl>
                  <c:pt idx="0">
                    <c:v>April</c:v>
                  </c:pt>
                  <c:pt idx="1">
                    <c:v>Feb</c:v>
                  </c:pt>
                  <c:pt idx="2">
                    <c:v>Sep</c:v>
                  </c:pt>
                  <c:pt idx="3">
                    <c:v>July</c:v>
                  </c:pt>
                  <c:pt idx="4">
                    <c:v>March</c:v>
                  </c:pt>
                  <c:pt idx="5">
                    <c:v>Jan</c:v>
                  </c:pt>
                  <c:pt idx="6">
                    <c:v>Aug</c:v>
                  </c:pt>
                  <c:pt idx="7">
                    <c:v>June</c:v>
                  </c:pt>
                  <c:pt idx="8">
                    <c:v>Feb</c:v>
                  </c:pt>
                  <c:pt idx="9">
                    <c:v>May</c:v>
                  </c:pt>
                  <c:pt idx="10">
                    <c:v>Oct</c:v>
                  </c:pt>
                  <c:pt idx="11">
                    <c:v>July</c:v>
                  </c:pt>
                  <c:pt idx="12">
                    <c:v>April</c:v>
                  </c:pt>
                  <c:pt idx="13">
                    <c:v>Jan</c:v>
                  </c:pt>
                  <c:pt idx="14">
                    <c:v>Sep</c:v>
                  </c:pt>
                  <c:pt idx="15">
                    <c:v>June</c:v>
                  </c:pt>
                  <c:pt idx="16">
                    <c:v>March</c:v>
                  </c:pt>
                  <c:pt idx="17">
                    <c:v>May</c:v>
                  </c:pt>
                  <c:pt idx="18">
                    <c:v>Aug</c:v>
                  </c:pt>
                  <c:pt idx="19">
                    <c:v>Oct</c:v>
                  </c:pt>
                </c:lvl>
                <c:lvl>
                  <c:pt idx="0">
                    <c:v>Keyboard</c:v>
                  </c:pt>
                  <c:pt idx="4">
                    <c:v>Laptop</c:v>
                  </c:pt>
                  <c:pt idx="8">
                    <c:v>Moniter</c:v>
                  </c:pt>
                  <c:pt idx="12">
                    <c:v>Mouse</c:v>
                  </c:pt>
                  <c:pt idx="16">
                    <c:v>Printer</c:v>
                  </c:pt>
                </c:lvl>
              </c:multiLvlStrCache>
            </c:multiLvlStrRef>
          </c:cat>
          <c:val>
            <c:numRef>
              <c:f>'Sales Data'!$AC$41:$AC$66</c:f>
              <c:numCache>
                <c:formatCode>General</c:formatCode>
                <c:ptCount val="20"/>
                <c:pt idx="0">
                  <c:v>1800</c:v>
                </c:pt>
                <c:pt idx="1">
                  <c:v>1500</c:v>
                </c:pt>
                <c:pt idx="2">
                  <c:v>12500</c:v>
                </c:pt>
                <c:pt idx="3">
                  <c:v>13000</c:v>
                </c:pt>
                <c:pt idx="4">
                  <c:v>60000</c:v>
                </c:pt>
                <c:pt idx="5">
                  <c:v>55000</c:v>
                </c:pt>
                <c:pt idx="6">
                  <c:v>850</c:v>
                </c:pt>
                <c:pt idx="7">
                  <c:v>750</c:v>
                </c:pt>
                <c:pt idx="8">
                  <c:v>12000</c:v>
                </c:pt>
                <c:pt idx="9">
                  <c:v>13000</c:v>
                </c:pt>
                <c:pt idx="10">
                  <c:v>17500</c:v>
                </c:pt>
                <c:pt idx="11">
                  <c:v>17000</c:v>
                </c:pt>
                <c:pt idx="12">
                  <c:v>750</c:v>
                </c:pt>
                <c:pt idx="13">
                  <c:v>800</c:v>
                </c:pt>
                <c:pt idx="14">
                  <c:v>1600</c:v>
                </c:pt>
                <c:pt idx="15">
                  <c:v>1800</c:v>
                </c:pt>
                <c:pt idx="16">
                  <c:v>18000</c:v>
                </c:pt>
                <c:pt idx="17">
                  <c:v>60000</c:v>
                </c:pt>
                <c:pt idx="18">
                  <c:v>58000</c:v>
                </c:pt>
                <c:pt idx="19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CF-488F-BACB-A864B26C5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562208"/>
        <c:axId val="275558848"/>
      </c:barChart>
      <c:catAx>
        <c:axId val="27556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558848"/>
        <c:crosses val="autoZero"/>
        <c:auto val="1"/>
        <c:lblAlgn val="ctr"/>
        <c:lblOffset val="100"/>
        <c:noMultiLvlLbl val="0"/>
      </c:catAx>
      <c:valAx>
        <c:axId val="27555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56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274277287336222"/>
          <c:y val="4.7174451914080963E-2"/>
          <c:w val="0.12725726038763652"/>
          <c:h val="0.112640802610703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[Excel_fundamental_booster.xlsx]Sales Data!PivotTable5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Data'!$AB$40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cat>
            <c:multiLvlStrRef>
              <c:f>'Sales Data'!$AA$41:$AA$66</c:f>
              <c:multiLvlStrCache>
                <c:ptCount val="20"/>
                <c:lvl>
                  <c:pt idx="0">
                    <c:v>April</c:v>
                  </c:pt>
                  <c:pt idx="1">
                    <c:v>Feb</c:v>
                  </c:pt>
                  <c:pt idx="2">
                    <c:v>Sep</c:v>
                  </c:pt>
                  <c:pt idx="3">
                    <c:v>July</c:v>
                  </c:pt>
                  <c:pt idx="4">
                    <c:v>March</c:v>
                  </c:pt>
                  <c:pt idx="5">
                    <c:v>Jan</c:v>
                  </c:pt>
                  <c:pt idx="6">
                    <c:v>Aug</c:v>
                  </c:pt>
                  <c:pt idx="7">
                    <c:v>June</c:v>
                  </c:pt>
                  <c:pt idx="8">
                    <c:v>Feb</c:v>
                  </c:pt>
                  <c:pt idx="9">
                    <c:v>May</c:v>
                  </c:pt>
                  <c:pt idx="10">
                    <c:v>Oct</c:v>
                  </c:pt>
                  <c:pt idx="11">
                    <c:v>July</c:v>
                  </c:pt>
                  <c:pt idx="12">
                    <c:v>April</c:v>
                  </c:pt>
                  <c:pt idx="13">
                    <c:v>Jan</c:v>
                  </c:pt>
                  <c:pt idx="14">
                    <c:v>Sep</c:v>
                  </c:pt>
                  <c:pt idx="15">
                    <c:v>June</c:v>
                  </c:pt>
                  <c:pt idx="16">
                    <c:v>March</c:v>
                  </c:pt>
                  <c:pt idx="17">
                    <c:v>May</c:v>
                  </c:pt>
                  <c:pt idx="18">
                    <c:v>Aug</c:v>
                  </c:pt>
                  <c:pt idx="19">
                    <c:v>Oct</c:v>
                  </c:pt>
                </c:lvl>
                <c:lvl>
                  <c:pt idx="0">
                    <c:v>Keyboard</c:v>
                  </c:pt>
                  <c:pt idx="4">
                    <c:v>Laptop</c:v>
                  </c:pt>
                  <c:pt idx="8">
                    <c:v>Moniter</c:v>
                  </c:pt>
                  <c:pt idx="12">
                    <c:v>Mouse</c:v>
                  </c:pt>
                  <c:pt idx="16">
                    <c:v>Printer</c:v>
                  </c:pt>
                </c:lvl>
              </c:multiLvlStrCache>
            </c:multiLvlStrRef>
          </c:cat>
          <c:val>
            <c:numRef>
              <c:f>'Sales Data'!$AB$41:$AB$66</c:f>
              <c:numCache>
                <c:formatCode>General</c:formatCode>
                <c:ptCount val="20"/>
                <c:pt idx="0">
                  <c:v>14400</c:v>
                </c:pt>
                <c:pt idx="1">
                  <c:v>15000</c:v>
                </c:pt>
                <c:pt idx="2">
                  <c:v>87500</c:v>
                </c:pt>
                <c:pt idx="3">
                  <c:v>117000</c:v>
                </c:pt>
                <c:pt idx="4">
                  <c:v>60000</c:v>
                </c:pt>
                <c:pt idx="5">
                  <c:v>110000</c:v>
                </c:pt>
                <c:pt idx="6">
                  <c:v>850</c:v>
                </c:pt>
                <c:pt idx="7">
                  <c:v>1500</c:v>
                </c:pt>
                <c:pt idx="8">
                  <c:v>36000</c:v>
                </c:pt>
                <c:pt idx="9">
                  <c:v>52000</c:v>
                </c:pt>
                <c:pt idx="10">
                  <c:v>52500</c:v>
                </c:pt>
                <c:pt idx="11">
                  <c:v>85000</c:v>
                </c:pt>
                <c:pt idx="12">
                  <c:v>15000</c:v>
                </c:pt>
                <c:pt idx="13">
                  <c:v>12000</c:v>
                </c:pt>
                <c:pt idx="14">
                  <c:v>19200</c:v>
                </c:pt>
                <c:pt idx="15">
                  <c:v>32400</c:v>
                </c:pt>
                <c:pt idx="16">
                  <c:v>36000</c:v>
                </c:pt>
                <c:pt idx="17">
                  <c:v>180000</c:v>
                </c:pt>
                <c:pt idx="18">
                  <c:v>116000</c:v>
                </c:pt>
                <c:pt idx="19">
                  <c:v>124000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3-441B-AD80-7FDB9FCF10BD}"/>
            </c:ext>
          </c:extLst>
        </c:ser>
        <c:ser>
          <c:idx val="1"/>
          <c:order val="1"/>
          <c:tx>
            <c:strRef>
              <c:f>'Sales Data'!$AC$40</c:f>
              <c:strCache>
                <c:ptCount val="1"/>
                <c:pt idx="0">
                  <c:v>Sum of Unit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cat>
            <c:multiLvlStrRef>
              <c:f>'Sales Data'!$AA$41:$AA$66</c:f>
              <c:multiLvlStrCache>
                <c:ptCount val="20"/>
                <c:lvl>
                  <c:pt idx="0">
                    <c:v>April</c:v>
                  </c:pt>
                  <c:pt idx="1">
                    <c:v>Feb</c:v>
                  </c:pt>
                  <c:pt idx="2">
                    <c:v>Sep</c:v>
                  </c:pt>
                  <c:pt idx="3">
                    <c:v>July</c:v>
                  </c:pt>
                  <c:pt idx="4">
                    <c:v>March</c:v>
                  </c:pt>
                  <c:pt idx="5">
                    <c:v>Jan</c:v>
                  </c:pt>
                  <c:pt idx="6">
                    <c:v>Aug</c:v>
                  </c:pt>
                  <c:pt idx="7">
                    <c:v>June</c:v>
                  </c:pt>
                  <c:pt idx="8">
                    <c:v>Feb</c:v>
                  </c:pt>
                  <c:pt idx="9">
                    <c:v>May</c:v>
                  </c:pt>
                  <c:pt idx="10">
                    <c:v>Oct</c:v>
                  </c:pt>
                  <c:pt idx="11">
                    <c:v>July</c:v>
                  </c:pt>
                  <c:pt idx="12">
                    <c:v>April</c:v>
                  </c:pt>
                  <c:pt idx="13">
                    <c:v>Jan</c:v>
                  </c:pt>
                  <c:pt idx="14">
                    <c:v>Sep</c:v>
                  </c:pt>
                  <c:pt idx="15">
                    <c:v>June</c:v>
                  </c:pt>
                  <c:pt idx="16">
                    <c:v>March</c:v>
                  </c:pt>
                  <c:pt idx="17">
                    <c:v>May</c:v>
                  </c:pt>
                  <c:pt idx="18">
                    <c:v>Aug</c:v>
                  </c:pt>
                  <c:pt idx="19">
                    <c:v>Oct</c:v>
                  </c:pt>
                </c:lvl>
                <c:lvl>
                  <c:pt idx="0">
                    <c:v>Keyboard</c:v>
                  </c:pt>
                  <c:pt idx="4">
                    <c:v>Laptop</c:v>
                  </c:pt>
                  <c:pt idx="8">
                    <c:v>Moniter</c:v>
                  </c:pt>
                  <c:pt idx="12">
                    <c:v>Mouse</c:v>
                  </c:pt>
                  <c:pt idx="16">
                    <c:v>Printer</c:v>
                  </c:pt>
                </c:lvl>
              </c:multiLvlStrCache>
            </c:multiLvlStrRef>
          </c:cat>
          <c:val>
            <c:numRef>
              <c:f>'Sales Data'!$AC$41:$AC$66</c:f>
              <c:numCache>
                <c:formatCode>General</c:formatCode>
                <c:ptCount val="20"/>
                <c:pt idx="0">
                  <c:v>1800</c:v>
                </c:pt>
                <c:pt idx="1">
                  <c:v>1500</c:v>
                </c:pt>
                <c:pt idx="2">
                  <c:v>12500</c:v>
                </c:pt>
                <c:pt idx="3">
                  <c:v>13000</c:v>
                </c:pt>
                <c:pt idx="4">
                  <c:v>60000</c:v>
                </c:pt>
                <c:pt idx="5">
                  <c:v>55000</c:v>
                </c:pt>
                <c:pt idx="6">
                  <c:v>850</c:v>
                </c:pt>
                <c:pt idx="7">
                  <c:v>750</c:v>
                </c:pt>
                <c:pt idx="8">
                  <c:v>12000</c:v>
                </c:pt>
                <c:pt idx="9">
                  <c:v>13000</c:v>
                </c:pt>
                <c:pt idx="10">
                  <c:v>17500</c:v>
                </c:pt>
                <c:pt idx="11">
                  <c:v>17000</c:v>
                </c:pt>
                <c:pt idx="12">
                  <c:v>750</c:v>
                </c:pt>
                <c:pt idx="13">
                  <c:v>800</c:v>
                </c:pt>
                <c:pt idx="14">
                  <c:v>1600</c:v>
                </c:pt>
                <c:pt idx="15">
                  <c:v>1800</c:v>
                </c:pt>
                <c:pt idx="16">
                  <c:v>18000</c:v>
                </c:pt>
                <c:pt idx="17">
                  <c:v>60000</c:v>
                </c:pt>
                <c:pt idx="18">
                  <c:v>58000</c:v>
                </c:pt>
                <c:pt idx="19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E3-441B-AD80-7FDB9FCF1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2222222222222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Data'!$H$1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Data'!$E$2:$E$22</c:f>
              <c:strCache>
                <c:ptCount val="21"/>
                <c:pt idx="1">
                  <c:v>Jan</c:v>
                </c:pt>
                <c:pt idx="2">
                  <c:v>Jan</c:v>
                </c:pt>
                <c:pt idx="3">
                  <c:v>Feb</c:v>
                </c:pt>
                <c:pt idx="4">
                  <c:v>Feb</c:v>
                </c:pt>
                <c:pt idx="5">
                  <c:v>March</c:v>
                </c:pt>
                <c:pt idx="6">
                  <c:v>March</c:v>
                </c:pt>
                <c:pt idx="7">
                  <c:v>April</c:v>
                </c:pt>
                <c:pt idx="8">
                  <c:v>April</c:v>
                </c:pt>
                <c:pt idx="9">
                  <c:v>May</c:v>
                </c:pt>
                <c:pt idx="10">
                  <c:v>May</c:v>
                </c:pt>
                <c:pt idx="11">
                  <c:v>June</c:v>
                </c:pt>
                <c:pt idx="12">
                  <c:v>June</c:v>
                </c:pt>
                <c:pt idx="13">
                  <c:v>July</c:v>
                </c:pt>
                <c:pt idx="14">
                  <c:v>July</c:v>
                </c:pt>
                <c:pt idx="15">
                  <c:v>Aug</c:v>
                </c:pt>
                <c:pt idx="16">
                  <c:v>Aug</c:v>
                </c:pt>
                <c:pt idx="17">
                  <c:v>Sep</c:v>
                </c:pt>
                <c:pt idx="18">
                  <c:v>Sep</c:v>
                </c:pt>
                <c:pt idx="19">
                  <c:v>Oct</c:v>
                </c:pt>
                <c:pt idx="20">
                  <c:v>Oct</c:v>
                </c:pt>
              </c:strCache>
            </c:strRef>
          </c:cat>
          <c:val>
            <c:numRef>
              <c:f>'Sales Data'!$H$2:$H$22</c:f>
              <c:numCache>
                <c:formatCode>"₹"\ #,##0.00</c:formatCode>
                <c:ptCount val="21"/>
                <c:pt idx="1">
                  <c:v>110000</c:v>
                </c:pt>
                <c:pt idx="2">
                  <c:v>12000</c:v>
                </c:pt>
                <c:pt idx="3">
                  <c:v>15000</c:v>
                </c:pt>
                <c:pt idx="4">
                  <c:v>36000</c:v>
                </c:pt>
                <c:pt idx="5">
                  <c:v>36000</c:v>
                </c:pt>
                <c:pt idx="6">
                  <c:v>60000</c:v>
                </c:pt>
                <c:pt idx="7">
                  <c:v>15000</c:v>
                </c:pt>
                <c:pt idx="8">
                  <c:v>14400</c:v>
                </c:pt>
                <c:pt idx="9">
                  <c:v>52000</c:v>
                </c:pt>
                <c:pt idx="10">
                  <c:v>180000</c:v>
                </c:pt>
                <c:pt idx="11">
                  <c:v>1500</c:v>
                </c:pt>
                <c:pt idx="12">
                  <c:v>32400</c:v>
                </c:pt>
                <c:pt idx="13">
                  <c:v>117000</c:v>
                </c:pt>
                <c:pt idx="14">
                  <c:v>85000</c:v>
                </c:pt>
                <c:pt idx="15">
                  <c:v>116000</c:v>
                </c:pt>
                <c:pt idx="16">
                  <c:v>850</c:v>
                </c:pt>
                <c:pt idx="17">
                  <c:v>19200</c:v>
                </c:pt>
                <c:pt idx="18">
                  <c:v>87500</c:v>
                </c:pt>
                <c:pt idx="19">
                  <c:v>52500</c:v>
                </c:pt>
                <c:pt idx="20">
                  <c:v>124000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9-4539-9409-3701848C8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753488"/>
        <c:axId val="2100747248"/>
      </c:lineChart>
      <c:catAx>
        <c:axId val="210075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747248"/>
        <c:crosses val="autoZero"/>
        <c:auto val="1"/>
        <c:lblAlgn val="ctr"/>
        <c:lblOffset val="100"/>
        <c:noMultiLvlLbl val="0"/>
      </c:catAx>
      <c:valAx>
        <c:axId val="21007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75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>
                    <a:lumMod val="95000"/>
                    <a:lumOff val="5000"/>
                  </a:schemeClr>
                </a:solidFill>
              </a:rPr>
              <a:t>Department</a:t>
            </a:r>
            <a:r>
              <a:rPr lang="en-IN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Wise Salary</a:t>
            </a:r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dkEdg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dkEdg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dkEdg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dkEdg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7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dkEdg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dkEdge"/>
          </c:spPr>
          <c:invertIfNegative val="0"/>
          <c:cat>
            <c:strLit>
              <c:ptCount val="4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Sales</c:v>
              </c:pt>
            </c:strLit>
          </c:cat>
          <c:val>
            <c:numLit>
              <c:formatCode>General</c:formatCode>
              <c:ptCount val="4"/>
              <c:pt idx="0">
                <c:v>158000</c:v>
              </c:pt>
              <c:pt idx="1">
                <c:v>258000</c:v>
              </c:pt>
              <c:pt idx="2">
                <c:v>313000</c:v>
              </c:pt>
              <c:pt idx="3">
                <c:v>265000</c:v>
              </c:pt>
            </c:numLit>
          </c:val>
          <c:extLst>
            <c:ext xmlns:c16="http://schemas.microsoft.com/office/drawing/2014/chart" uri="{C3380CC4-5D6E-409C-BE32-E72D297353CC}">
              <c16:uniqueId val="{00000000-F7FB-45F1-924E-81E5E61A4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658960"/>
        <c:axId val="432660400"/>
      </c:barChart>
      <c:catAx>
        <c:axId val="432658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6040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43266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5896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[Excel_fundamental_booster.xlsx]PivotChartTable3</c15:name>
        <c15:fmtId val="4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'Employee Data'!$F$1</c:f>
              <c:strCache>
                <c:ptCount val="1"/>
                <c:pt idx="0">
                  <c:v>Date of Joining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'Employee Data'!$B$2:$B$22</c:f>
              <c:strCache>
                <c:ptCount val="21"/>
                <c:pt idx="1">
                  <c:v>Tej Patel</c:v>
                </c:pt>
                <c:pt idx="2">
                  <c:v>Diya Patel</c:v>
                </c:pt>
                <c:pt idx="3">
                  <c:v>Vandita Patel</c:v>
                </c:pt>
                <c:pt idx="4">
                  <c:v>Krish Patel</c:v>
                </c:pt>
                <c:pt idx="5">
                  <c:v>Meet Shah</c:v>
                </c:pt>
                <c:pt idx="6">
                  <c:v>Priya Patel</c:v>
                </c:pt>
                <c:pt idx="7">
                  <c:v>Yash Patel</c:v>
                </c:pt>
                <c:pt idx="8">
                  <c:v>Riya Shah</c:v>
                </c:pt>
                <c:pt idx="9">
                  <c:v>Aarav Patel</c:v>
                </c:pt>
                <c:pt idx="10">
                  <c:v>Kavya Patel</c:v>
                </c:pt>
                <c:pt idx="11">
                  <c:v>Jay Patel</c:v>
                </c:pt>
                <c:pt idx="12">
                  <c:v>Neha Shah</c:v>
                </c:pt>
                <c:pt idx="13">
                  <c:v>Harsh Patel</c:v>
                </c:pt>
                <c:pt idx="14">
                  <c:v>Pooja Patel</c:v>
                </c:pt>
                <c:pt idx="15">
                  <c:v>Dev Patel</c:v>
                </c:pt>
                <c:pt idx="16">
                  <c:v>Mansi Patel</c:v>
                </c:pt>
                <c:pt idx="17">
                  <c:v>Dhruv Shah</c:v>
                </c:pt>
                <c:pt idx="18">
                  <c:v>Het Patel</c:v>
                </c:pt>
                <c:pt idx="19">
                  <c:v>Khushi Patel</c:v>
                </c:pt>
                <c:pt idx="20">
                  <c:v>Ronak Patel</c:v>
                </c:pt>
              </c:strCache>
            </c:strRef>
          </c:cat>
          <c:val>
            <c:numRef>
              <c:f>'Employee Data'!$F$2:$F$22</c:f>
              <c:numCache>
                <c:formatCode>[$-F800]dddd\,\ mmmm\ dd\,\ yyyy</c:formatCode>
                <c:ptCount val="21"/>
                <c:pt idx="1">
                  <c:v>45458</c:v>
                </c:pt>
                <c:pt idx="2">
                  <c:v>45459</c:v>
                </c:pt>
                <c:pt idx="3">
                  <c:v>45462</c:v>
                </c:pt>
                <c:pt idx="4">
                  <c:v>45818</c:v>
                </c:pt>
                <c:pt idx="5">
                  <c:v>45463</c:v>
                </c:pt>
                <c:pt idx="6">
                  <c:v>46183</c:v>
                </c:pt>
                <c:pt idx="7">
                  <c:v>45820</c:v>
                </c:pt>
                <c:pt idx="8">
                  <c:v>45461</c:v>
                </c:pt>
                <c:pt idx="9">
                  <c:v>45465</c:v>
                </c:pt>
                <c:pt idx="10">
                  <c:v>45816</c:v>
                </c:pt>
                <c:pt idx="11">
                  <c:v>45468</c:v>
                </c:pt>
                <c:pt idx="12">
                  <c:v>46182</c:v>
                </c:pt>
                <c:pt idx="13">
                  <c:v>45459</c:v>
                </c:pt>
                <c:pt idx="14">
                  <c:v>45825</c:v>
                </c:pt>
                <c:pt idx="15">
                  <c:v>45458</c:v>
                </c:pt>
                <c:pt idx="16">
                  <c:v>46183</c:v>
                </c:pt>
                <c:pt idx="17">
                  <c:v>45461</c:v>
                </c:pt>
                <c:pt idx="18">
                  <c:v>45828</c:v>
                </c:pt>
                <c:pt idx="19">
                  <c:v>45455</c:v>
                </c:pt>
                <c:pt idx="20">
                  <c:v>45465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0E-4F0C-A80F-3348CEACE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857104"/>
        <c:axId val="428856624"/>
      </c:lineChart>
      <c:catAx>
        <c:axId val="42885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856624"/>
        <c:crosses val="autoZero"/>
        <c:auto val="1"/>
        <c:lblAlgn val="ctr"/>
        <c:lblOffset val="100"/>
        <c:noMultiLvlLbl val="0"/>
      </c:catAx>
      <c:valAx>
        <c:axId val="42885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85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514699</xdr:colOff>
      <xdr:row>25</xdr:row>
      <xdr:rowOff>183855</xdr:rowOff>
    </xdr:from>
    <xdr:to>
      <xdr:col>21</xdr:col>
      <xdr:colOff>209723</xdr:colOff>
      <xdr:row>38</xdr:row>
      <xdr:rowOff>96123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9781B5-D266-E93A-A1BC-C15E7C34E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328308</xdr:colOff>
      <xdr:row>12</xdr:row>
      <xdr:rowOff>148346</xdr:rowOff>
    </xdr:from>
    <xdr:to>
      <xdr:col>23</xdr:col>
      <xdr:colOff>537047</xdr:colOff>
      <xdr:row>25</xdr:row>
      <xdr:rowOff>60797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52BE37-5ECC-7137-64BB-C6EF7D49F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263457</xdr:colOff>
      <xdr:row>39</xdr:row>
      <xdr:rowOff>101330</xdr:rowOff>
    </xdr:from>
    <xdr:to>
      <xdr:col>25</xdr:col>
      <xdr:colOff>0</xdr:colOff>
      <xdr:row>68</xdr:row>
      <xdr:rowOff>20266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17968A-3D76-9A6F-A3D1-A55AADC64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172261</xdr:colOff>
      <xdr:row>3</xdr:row>
      <xdr:rowOff>30398</xdr:rowOff>
    </xdr:from>
    <xdr:to>
      <xdr:col>27</xdr:col>
      <xdr:colOff>1047750</xdr:colOff>
      <xdr:row>16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43B808-4D88-D06B-DE00-09FFDAFCB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318177</xdr:colOff>
      <xdr:row>18</xdr:row>
      <xdr:rowOff>182393</xdr:rowOff>
    </xdr:from>
    <xdr:to>
      <xdr:col>29</xdr:col>
      <xdr:colOff>466118</xdr:colOff>
      <xdr:row>34</xdr:row>
      <xdr:rowOff>91197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005F4F-B6AD-FF7E-C9DE-7DA4AE4AF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188702</xdr:rowOff>
    </xdr:from>
    <xdr:to>
      <xdr:col>26</xdr:col>
      <xdr:colOff>593066</xdr:colOff>
      <xdr:row>18</xdr:row>
      <xdr:rowOff>170732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1198B4-2A04-4059-ADED-416A23249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32350</xdr:colOff>
      <xdr:row>21</xdr:row>
      <xdr:rowOff>179717</xdr:rowOff>
    </xdr:from>
    <xdr:to>
      <xdr:col>27</xdr:col>
      <xdr:colOff>35944</xdr:colOff>
      <xdr:row>38</xdr:row>
      <xdr:rowOff>23724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E555D53-E4F6-F5D0-2221-CBCB99466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j Patel" refreshedDate="46201.877914930556" createdVersion="8" refreshedVersion="8" minRefreshableVersion="3" recordCount="21" xr:uid="{98D69DF9-1911-4362-B34E-5DBC01777984}">
  <cacheSource type="worksheet">
    <worksheetSource ref="A1:L22" sheet="Sales Data"/>
  </cacheSource>
  <cacheFields count="12">
    <cacheField name="Product code" numFmtId="0">
      <sharedItems containsBlank="1" count="21">
        <m/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</sharedItems>
    </cacheField>
    <cacheField name="Product" numFmtId="0">
      <sharedItems containsBlank="1" count="6">
        <m/>
        <s v="Laptop"/>
        <s v="Mouse"/>
        <s v="Keyboard"/>
        <s v="Moniter"/>
        <s v="Printer"/>
      </sharedItems>
    </cacheField>
    <cacheField name="Region" numFmtId="0">
      <sharedItems containsBlank="1" count="5">
        <m/>
        <s v="North"/>
        <s v="South"/>
        <s v="East"/>
        <s v="West"/>
      </sharedItems>
    </cacheField>
    <cacheField name="Salesperson" numFmtId="0">
      <sharedItems containsBlank="1" count="21">
        <m/>
        <s v="Tej Patel"/>
        <s v="Diya Patel"/>
        <s v="Vandita Patel"/>
        <s v="Krish Patel"/>
        <s v="Meet Shah"/>
        <s v="Priya Patel"/>
        <s v="Yash Patel"/>
        <s v="Riya Shah"/>
        <s v="Aarav Patel"/>
        <s v="Kavya Patel"/>
        <s v="Jay Patel"/>
        <s v="Neha Shah"/>
        <s v="Harsh Patel"/>
        <s v="Pooja Patel"/>
        <s v="Dev Patel"/>
        <s v="Mansi Patel"/>
        <s v="Dhruv Shah"/>
        <s v="Het Patel"/>
        <s v="Khushi Patel"/>
        <s v="Ronak Patel"/>
      </sharedItems>
    </cacheField>
    <cacheField name="Month" numFmtId="0">
      <sharedItems containsBlank="1" count="11">
        <m/>
        <s v="Jan"/>
        <s v="Feb"/>
        <s v="March"/>
        <s v="April"/>
        <s v="May"/>
        <s v="June"/>
        <s v="July"/>
        <s v="Aug"/>
        <s v="Sep"/>
        <s v="Oct"/>
      </sharedItems>
    </cacheField>
    <cacheField name="Unit Price" numFmtId="0">
      <sharedItems containsString="0" containsBlank="1" containsNumber="1" containsInteger="1" minValue="750" maxValue="62000"/>
    </cacheField>
    <cacheField name="Qty" numFmtId="0">
      <sharedItems containsString="0" containsBlank="1" containsNumber="1" containsInteger="1" minValue="1" maxValue="20"/>
    </cacheField>
    <cacheField name="Total Sales" numFmtId="164">
      <sharedItems containsString="0" containsBlank="1" containsNumber="1" containsInteger="1" minValue="850" maxValue="180000"/>
    </cacheField>
    <cacheField name="Disscount" numFmtId="0">
      <sharedItems containsBlank="1" count="3">
        <m/>
        <s v="10%"/>
        <s v="5%"/>
      </sharedItems>
    </cacheField>
    <cacheField name="Round Sales" numFmtId="0">
      <sharedItems containsString="0" containsBlank="1" containsNumber="1" containsInteger="1" minValue="900" maxValue="180000"/>
    </cacheField>
    <cacheField name="Celling Sales" numFmtId="0">
      <sharedItems containsString="0" containsBlank="1" containsNumber="1" containsInteger="1" minValue="1000" maxValue="180000"/>
    </cacheField>
    <cacheField name="Floor Sales" numFmtId="2">
      <sharedItems containsString="0" containsBlank="1" containsNumber="1" containsInteger="1" minValue="0" maxValue="1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ej Patel" refreshedDate="46201.871738657406" backgroundQuery="1" createdVersion="8" refreshedVersion="8" minRefreshableVersion="3" recordCount="0" supportSubquery="1" supportAdvancedDrill="1" xr:uid="{61FDFBE3-6880-45D6-BBEC-8E267DD04779}">
  <cacheSource type="external" connectionId="1"/>
  <cacheFields count="3">
    <cacheField name="[Range].[Product].[Product]" caption="Product" numFmtId="0" hierarchy="1" level="1">
      <sharedItems count="5">
        <s v="Keyboard"/>
        <s v="Laptop"/>
        <s v="Moniter"/>
        <s v="Mouse"/>
        <s v="Printer"/>
      </sharedItems>
    </cacheField>
    <cacheField name="[Measures].[Sum of Total Sales]" caption="Sum of Total Sales" numFmtId="0" hierarchy="24" level="32767"/>
    <cacheField name="[Measures].[Sum of Unit Price]" caption="Sum of Unit Price" numFmtId="0" hierarchy="25" level="32767"/>
  </cacheFields>
  <cacheHierarchies count="27">
    <cacheHierarchy uniqueName="[Range].[Product code]" caption="Product code" attribute="1" defaultMemberUniqueName="[Range].[Product code].[All]" allUniqueName="[Range].[Product c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20" unbalanced="0"/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Range].[Total Sales]" caption="Total Sales" attribute="1" defaultMemberUniqueName="[Range].[Total Sales].[All]" allUniqueName="[Range].[Total Sales].[All]" dimensionUniqueName="[Range]" displayFolder="" count="0" memberValueDatatype="20" unbalanced="0"/>
    <cacheHierarchy uniqueName="[Range].[Disscount]" caption="Disscount" attribute="1" defaultMemberUniqueName="[Range].[Disscount].[All]" allUniqueName="[Range].[Disscount].[All]" dimensionUniqueName="[Range]" displayFolder="" count="0" memberValueDatatype="130" unbalanced="0"/>
    <cacheHierarchy uniqueName="[Range].[Round Sales]" caption="Round Sales" attribute="1" defaultMemberUniqueName="[Range].[Round Sales].[All]" allUniqueName="[Range].[Round Sales].[All]" dimensionUniqueName="[Range]" displayFolder="" count="0" memberValueDatatype="20" unbalanced="0"/>
    <cacheHierarchy uniqueName="[Range].[Celling Sales]" caption="Celling Sales" attribute="1" defaultMemberUniqueName="[Range].[Celling Sales].[All]" allUniqueName="[Range].[Celling Sales].[All]" dimensionUniqueName="[Range]" displayFolder="" count="0" memberValueDatatype="20" unbalanced="0"/>
    <cacheHierarchy uniqueName="[Range].[Floor Sales]" caption="Floor Sales" attribute="1" defaultMemberUniqueName="[Range].[Floor Sales].[All]" allUniqueName="[Range].[Floor Sales].[All]" dimensionUniqueName="[Range]" displayFolder="" count="0" memberValueDatatype="20" unbalanced="0"/>
    <cacheHierarchy uniqueName="[Range 1].[EMP ID]" caption="EMP ID" attribute="1" defaultMemberUniqueName="[Range 1].[EMP ID].[All]" allUniqueName="[Range 1].[EMP ID].[All]" dimensionUniqueName="[Range 1]" displayFolder="" count="0" memberValueDatatype="130" unbalanced="0"/>
    <cacheHierarchy uniqueName="[Range 1].[Employee Name]" caption="Employee Name" attribute="1" defaultMemberUniqueName="[Range 1].[Employee Name].[All]" allUniqueName="[Range 1].[Employee Name].[All]" dimensionUniqueName="[Range 1]" displayFolder="" count="0" memberValueDatatype="130" unbalanced="0"/>
    <cacheHierarchy uniqueName="[Range 1].[Department]" caption="Department" attribute="1" defaultMemberUniqueName="[Range 1].[Department].[All]" allUniqueName="[Range 1].[Department].[All]" dimensionUniqueName="[Range 1]" displayFolder="" count="0" memberValueDatatype="130" unbalanced="0"/>
    <cacheHierarchy uniqueName="[Range 1].[Date of Birth]" caption="Date of Birth" attribute="1" time="1" defaultMemberUniqueName="[Range 1].[Date of Birth].[All]" allUniqueName="[Range 1].[Date of Birth].[All]" dimensionUniqueName="[Range 1]" displayFolder="" count="0" memberValueDatatype="7" unbalanced="0"/>
    <cacheHierarchy uniqueName="[Range 1].[Age]" caption="Age" attribute="1" defaultMemberUniqueName="[Range 1].[Age].[All]" allUniqueName="[Range 1].[Age].[All]" dimensionUniqueName="[Range 1]" displayFolder="" count="0" memberValueDatatype="130" unbalanced="0"/>
    <cacheHierarchy uniqueName="[Range 1].[Date of Joining]" caption="Date of Joining" attribute="1" time="1" defaultMemberUniqueName="[Range 1].[Date of Joining].[All]" allUniqueName="[Range 1].[Date of Joining].[All]" dimensionUniqueName="[Range 1]" displayFolder="" count="0" memberValueDatatype="7" unbalanced="0"/>
    <cacheHierarchy uniqueName="[Range 1].[Experience]" caption="Experience" attribute="1" defaultMemberUniqueName="[Range 1].[Experience].[All]" allUniqueName="[Range 1].[Experience].[All]" dimensionUniqueName="[Range 1]" displayFolder="" count="0" memberValueDatatype="130" unbalanced="0"/>
    <cacheHierarchy uniqueName="[Range 1].[Days Since Joining]" caption="Days Since Joining" attribute="1" defaultMemberUniqueName="[Range 1].[Days Since Joining].[All]" allUniqueName="[Range 1].[Days Since Joining].[All]" dimensionUniqueName="[Range 1]" displayFolder="" count="0" memberValueDatatype="130" unbalanced="0"/>
    <cacheHierarchy uniqueName="[Range 1].[Salary]" caption="Salary" attribute="1" defaultMemberUniqueName="[Range 1].[Salary].[All]" allUniqueName="[Range 1].[Salary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Unit Price]" caption="Sum of Unit Pric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ary]" caption="Sum of Salar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ej Patel" refreshedDate="46201.891964236114" backgroundQuery="1" createdVersion="8" refreshedVersion="8" minRefreshableVersion="3" recordCount="0" supportSubquery="1" supportAdvancedDrill="1" xr:uid="{6C913A9B-AC31-463C-88C5-2F9DCFA1BBC8}">
  <cacheSource type="external" connectionId="1"/>
  <cacheFields count="3">
    <cacheField name="[Range 1].[Experience].[Experience]" caption="Experience" numFmtId="0" hierarchy="18" level="1">
      <sharedItems count="3">
        <s v="0 Years 0 Months"/>
        <s v="1 Years 0 Months"/>
        <s v="2 Years 0 Months"/>
      </sharedItems>
    </cacheField>
    <cacheField name="[Range 1].[Department].[Department]" caption="Department" numFmtId="0" hierarchy="14" level="1">
      <sharedItems count="4">
        <s v="HR"/>
        <s v="Sales"/>
        <s v="Finance"/>
        <s v="IT"/>
      </sharedItems>
    </cacheField>
    <cacheField name="[Measures].[Sum of Salary]" caption="Sum of Salary" numFmtId="0" hierarchy="26" level="32767"/>
  </cacheFields>
  <cacheHierarchies count="27">
    <cacheHierarchy uniqueName="[Range].[Product code]" caption="Product code" attribute="1" defaultMemberUniqueName="[Range].[Product code].[All]" allUniqueName="[Range].[Product c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20" unbalanced="0"/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Range].[Total Sales]" caption="Total Sales" attribute="1" defaultMemberUniqueName="[Range].[Total Sales].[All]" allUniqueName="[Range].[Total Sales].[All]" dimensionUniqueName="[Range]" displayFolder="" count="0" memberValueDatatype="20" unbalanced="0"/>
    <cacheHierarchy uniqueName="[Range].[Disscount]" caption="Disscount" attribute="1" defaultMemberUniqueName="[Range].[Disscount].[All]" allUniqueName="[Range].[Disscount].[All]" dimensionUniqueName="[Range]" displayFolder="" count="0" memberValueDatatype="130" unbalanced="0"/>
    <cacheHierarchy uniqueName="[Range].[Round Sales]" caption="Round Sales" attribute="1" defaultMemberUniqueName="[Range].[Round Sales].[All]" allUniqueName="[Range].[Round Sales].[All]" dimensionUniqueName="[Range]" displayFolder="" count="0" memberValueDatatype="20" unbalanced="0"/>
    <cacheHierarchy uniqueName="[Range].[Celling Sales]" caption="Celling Sales" attribute="1" defaultMemberUniqueName="[Range].[Celling Sales].[All]" allUniqueName="[Range].[Celling Sales].[All]" dimensionUniqueName="[Range]" displayFolder="" count="0" memberValueDatatype="20" unbalanced="0"/>
    <cacheHierarchy uniqueName="[Range].[Floor Sales]" caption="Floor Sales" attribute="1" defaultMemberUniqueName="[Range].[Floor Sales].[All]" allUniqueName="[Range].[Floor Sales].[All]" dimensionUniqueName="[Range]" displayFolder="" count="0" memberValueDatatype="20" unbalanced="0"/>
    <cacheHierarchy uniqueName="[Range 1].[EMP ID]" caption="EMP ID" attribute="1" defaultMemberUniqueName="[Range 1].[EMP ID].[All]" allUniqueName="[Range 1].[EMP ID].[All]" dimensionUniqueName="[Range 1]" displayFolder="" count="2" memberValueDatatype="130" unbalanced="0"/>
    <cacheHierarchy uniqueName="[Range 1].[Employee Name]" caption="Employee Name" attribute="1" defaultMemberUniqueName="[Range 1].[Employee Name].[All]" allUniqueName="[Range 1].[Employee Name].[All]" dimensionUniqueName="[Range 1]" displayFolder="" count="2" memberValueDatatype="130" unbalanced="0"/>
    <cacheHierarchy uniqueName="[Range 1].[Department]" caption="Department" attribute="1" defaultMemberUniqueName="[Range 1].[Department].[All]" allUniqueName="[Range 1].[Department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Date of Birth]" caption="Date of Birth" attribute="1" time="1" defaultMemberUniqueName="[Range 1].[Date of Birth].[All]" allUniqueName="[Range 1].[Date of Birth].[All]" dimensionUniqueName="[Range 1]" displayFolder="" count="0" memberValueDatatype="7" unbalanced="0"/>
    <cacheHierarchy uniqueName="[Range 1].[Age]" caption="Age" attribute="1" defaultMemberUniqueName="[Range 1].[Age].[All]" allUniqueName="[Range 1].[Age].[All]" dimensionUniqueName="[Range 1]" displayFolder="" count="2" memberValueDatatype="130" unbalanced="0"/>
    <cacheHierarchy uniqueName="[Range 1].[Date of Joining]" caption="Date of Joining" attribute="1" time="1" defaultMemberUniqueName="[Range 1].[Date of Joining].[All]" allUniqueName="[Range 1].[Date of Joining].[All]" dimensionUniqueName="[Range 1]" displayFolder="" count="0" memberValueDatatype="7" unbalanced="0"/>
    <cacheHierarchy uniqueName="[Range 1].[Experience]" caption="Experience" attribute="1" defaultMemberUniqueName="[Range 1].[Experience].[All]" allUniqueName="[Range 1].[Experien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Days Since Joining]" caption="Days Since Joining" attribute="1" defaultMemberUniqueName="[Range 1].[Days Since Joining].[All]" allUniqueName="[Range 1].[Days Since Joining].[All]" dimensionUniqueName="[Range 1]" displayFolder="" count="0" memberValueDatatype="130" unbalanced="0"/>
    <cacheHierarchy uniqueName="[Range 1].[Salary]" caption="Salary" attribute="1" defaultMemberUniqueName="[Range 1].[Salary].[All]" allUniqueName="[Range 1].[Salary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Unit Price]" caption="Sum of Unit Pric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ary]" caption="Sum of Salary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ej Patel" refreshedDate="46201.897602083336" backgroundQuery="1" createdVersion="8" refreshedVersion="8" minRefreshableVersion="3" recordCount="0" supportSubquery="1" supportAdvancedDrill="1" xr:uid="{698D1AA8-E25D-4554-8FAB-73E270580C2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Range 1].[Department].[Department]" caption="Department" numFmtId="0" hierarchy="14" level="1">
      <sharedItems count="4">
        <s v="Finance"/>
        <s v="HR"/>
        <s v="IT"/>
        <s v="Sales"/>
      </sharedItems>
    </cacheField>
    <cacheField name="[Measures].[Sum of Salary]" caption="Sum of Salary" numFmtId="0" hierarchy="26" level="32767"/>
  </cacheFields>
  <cacheHierarchies count="27">
    <cacheHierarchy uniqueName="[Range].[Product code]" caption="Product code" attribute="1" defaultMemberUniqueName="[Range].[Product code].[All]" allUniqueName="[Range].[Product c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20" unbalanced="0"/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Range].[Total Sales]" caption="Total Sales" attribute="1" defaultMemberUniqueName="[Range].[Total Sales].[All]" allUniqueName="[Range].[Total Sales].[All]" dimensionUniqueName="[Range]" displayFolder="" count="0" memberValueDatatype="20" unbalanced="0"/>
    <cacheHierarchy uniqueName="[Range].[Disscount]" caption="Disscount" attribute="1" defaultMemberUniqueName="[Range].[Disscount].[All]" allUniqueName="[Range].[Disscount].[All]" dimensionUniqueName="[Range]" displayFolder="" count="0" memberValueDatatype="130" unbalanced="0"/>
    <cacheHierarchy uniqueName="[Range].[Round Sales]" caption="Round Sales" attribute="1" defaultMemberUniqueName="[Range].[Round Sales].[All]" allUniqueName="[Range].[Round Sales].[All]" dimensionUniqueName="[Range]" displayFolder="" count="0" memberValueDatatype="20" unbalanced="0"/>
    <cacheHierarchy uniqueName="[Range].[Celling Sales]" caption="Celling Sales" attribute="1" defaultMemberUniqueName="[Range].[Celling Sales].[All]" allUniqueName="[Range].[Celling Sales].[All]" dimensionUniqueName="[Range]" displayFolder="" count="0" memberValueDatatype="20" unbalanced="0"/>
    <cacheHierarchy uniqueName="[Range].[Floor Sales]" caption="Floor Sales" attribute="1" defaultMemberUniqueName="[Range].[Floor Sales].[All]" allUniqueName="[Range].[Floor Sales].[All]" dimensionUniqueName="[Range]" displayFolder="" count="0" memberValueDatatype="20" unbalanced="0"/>
    <cacheHierarchy uniqueName="[Range 1].[EMP ID]" caption="EMP ID" attribute="1" defaultMemberUniqueName="[Range 1].[EMP ID].[All]" allUniqueName="[Range 1].[EMP ID].[All]" dimensionUniqueName="[Range 1]" displayFolder="" count="0" memberValueDatatype="130" unbalanced="0"/>
    <cacheHierarchy uniqueName="[Range 1].[Employee Name]" caption="Employee Name" attribute="1" defaultMemberUniqueName="[Range 1].[Employee Name].[All]" allUniqueName="[Range 1].[Employee Name].[All]" dimensionUniqueName="[Range 1]" displayFolder="" count="0" memberValueDatatype="130" unbalanced="0"/>
    <cacheHierarchy uniqueName="[Range 1].[Department]" caption="Department" attribute="1" defaultMemberUniqueName="[Range 1].[Department].[All]" allUniqueName="[Range 1].[Department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Date of Birth]" caption="Date of Birth" attribute="1" time="1" defaultMemberUniqueName="[Range 1].[Date of Birth].[All]" allUniqueName="[Range 1].[Date of Birth].[All]" dimensionUniqueName="[Range 1]" displayFolder="" count="0" memberValueDatatype="7" unbalanced="0"/>
    <cacheHierarchy uniqueName="[Range 1].[Age]" caption="Age" attribute="1" defaultMemberUniqueName="[Range 1].[Age].[All]" allUniqueName="[Range 1].[Age].[All]" dimensionUniqueName="[Range 1]" displayFolder="" count="0" memberValueDatatype="130" unbalanced="0"/>
    <cacheHierarchy uniqueName="[Range 1].[Date of Joining]" caption="Date of Joining" attribute="1" time="1" defaultMemberUniqueName="[Range 1].[Date of Joining].[All]" allUniqueName="[Range 1].[Date of Joining].[All]" dimensionUniqueName="[Range 1]" displayFolder="" count="0" memberValueDatatype="7" unbalanced="0"/>
    <cacheHierarchy uniqueName="[Range 1].[Experience]" caption="Experience" attribute="1" defaultMemberUniqueName="[Range 1].[Experience].[All]" allUniqueName="[Range 1].[Experience].[All]" dimensionUniqueName="[Range 1]" displayFolder="" count="0" memberValueDatatype="130" unbalanced="0"/>
    <cacheHierarchy uniqueName="[Range 1].[Days Since Joining]" caption="Days Since Joining" attribute="1" defaultMemberUniqueName="[Range 1].[Days Since Joining].[All]" allUniqueName="[Range 1].[Days Since Joining].[All]" dimensionUniqueName="[Range 1]" displayFolder="" count="0" memberValueDatatype="130" unbalanced="0"/>
    <cacheHierarchy uniqueName="[Range 1].[Salary]" caption="Salary" attribute="1" defaultMemberUniqueName="[Range 1].[Salary].[All]" allUniqueName="[Range 1].[Salary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Unit Price]" caption="Sum of Unit Pric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ary]" caption="Sum of Salary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pivotCacheId="110452996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x v="0"/>
    <x v="0"/>
    <m/>
    <m/>
    <m/>
    <x v="0"/>
    <m/>
    <m/>
    <m/>
  </r>
  <r>
    <x v="1"/>
    <x v="1"/>
    <x v="1"/>
    <x v="1"/>
    <x v="1"/>
    <n v="55000"/>
    <n v="2"/>
    <n v="110000"/>
    <x v="1"/>
    <n v="110000"/>
    <n v="110000"/>
    <n v="110000"/>
  </r>
  <r>
    <x v="2"/>
    <x v="2"/>
    <x v="2"/>
    <x v="2"/>
    <x v="1"/>
    <n v="800"/>
    <n v="15"/>
    <n v="12000"/>
    <x v="2"/>
    <n v="12000"/>
    <n v="12000"/>
    <n v="12000"/>
  </r>
  <r>
    <x v="3"/>
    <x v="3"/>
    <x v="3"/>
    <x v="3"/>
    <x v="2"/>
    <n v="1500"/>
    <n v="10"/>
    <n v="15000"/>
    <x v="2"/>
    <n v="15000"/>
    <n v="15000"/>
    <n v="15000"/>
  </r>
  <r>
    <x v="4"/>
    <x v="4"/>
    <x v="4"/>
    <x v="4"/>
    <x v="2"/>
    <n v="12000"/>
    <n v="3"/>
    <n v="36000"/>
    <x v="2"/>
    <n v="36000"/>
    <n v="36000"/>
    <n v="36000"/>
  </r>
  <r>
    <x v="5"/>
    <x v="5"/>
    <x v="1"/>
    <x v="5"/>
    <x v="3"/>
    <n v="18000"/>
    <n v="2"/>
    <n v="36000"/>
    <x v="2"/>
    <n v="36000"/>
    <n v="36000"/>
    <n v="36000"/>
  </r>
  <r>
    <x v="6"/>
    <x v="1"/>
    <x v="2"/>
    <x v="6"/>
    <x v="3"/>
    <n v="60000"/>
    <n v="1"/>
    <n v="60000"/>
    <x v="1"/>
    <n v="60000"/>
    <n v="60000"/>
    <n v="60000"/>
  </r>
  <r>
    <x v="7"/>
    <x v="2"/>
    <x v="3"/>
    <x v="7"/>
    <x v="4"/>
    <n v="750"/>
    <n v="20"/>
    <n v="15000"/>
    <x v="2"/>
    <n v="15000"/>
    <n v="15000"/>
    <n v="15000"/>
  </r>
  <r>
    <x v="8"/>
    <x v="3"/>
    <x v="4"/>
    <x v="8"/>
    <x v="4"/>
    <n v="1800"/>
    <n v="8"/>
    <n v="14400"/>
    <x v="2"/>
    <n v="14400"/>
    <n v="15000"/>
    <n v="14000"/>
  </r>
  <r>
    <x v="9"/>
    <x v="4"/>
    <x v="1"/>
    <x v="9"/>
    <x v="5"/>
    <n v="13000"/>
    <n v="4"/>
    <n v="52000"/>
    <x v="1"/>
    <n v="52000"/>
    <n v="52000"/>
    <n v="52000"/>
  </r>
  <r>
    <x v="10"/>
    <x v="5"/>
    <x v="2"/>
    <x v="10"/>
    <x v="5"/>
    <n v="60000"/>
    <n v="3"/>
    <n v="180000"/>
    <x v="1"/>
    <n v="180000"/>
    <n v="180000"/>
    <n v="180000"/>
  </r>
  <r>
    <x v="11"/>
    <x v="1"/>
    <x v="3"/>
    <x v="11"/>
    <x v="6"/>
    <n v="750"/>
    <n v="2"/>
    <n v="1500"/>
    <x v="2"/>
    <n v="1500"/>
    <n v="2000"/>
    <n v="1000"/>
  </r>
  <r>
    <x v="12"/>
    <x v="2"/>
    <x v="4"/>
    <x v="12"/>
    <x v="6"/>
    <n v="1800"/>
    <n v="18"/>
    <n v="32400"/>
    <x v="2"/>
    <n v="32400"/>
    <n v="33000"/>
    <n v="32000"/>
  </r>
  <r>
    <x v="13"/>
    <x v="3"/>
    <x v="1"/>
    <x v="13"/>
    <x v="7"/>
    <n v="13000"/>
    <n v="9"/>
    <n v="117000"/>
    <x v="1"/>
    <n v="117000"/>
    <n v="117000"/>
    <n v="117000"/>
  </r>
  <r>
    <x v="14"/>
    <x v="4"/>
    <x v="2"/>
    <x v="14"/>
    <x v="7"/>
    <n v="17000"/>
    <n v="5"/>
    <n v="85000"/>
    <x v="1"/>
    <n v="85000"/>
    <n v="85000"/>
    <n v="85000"/>
  </r>
  <r>
    <x v="15"/>
    <x v="5"/>
    <x v="3"/>
    <x v="15"/>
    <x v="8"/>
    <n v="58000"/>
    <n v="2"/>
    <n v="116000"/>
    <x v="1"/>
    <n v="116000"/>
    <n v="116000"/>
    <n v="116000"/>
  </r>
  <r>
    <x v="16"/>
    <x v="1"/>
    <x v="4"/>
    <x v="16"/>
    <x v="8"/>
    <n v="850"/>
    <n v="1"/>
    <n v="850"/>
    <x v="2"/>
    <n v="900"/>
    <n v="1000"/>
    <n v="0"/>
  </r>
  <r>
    <x v="17"/>
    <x v="2"/>
    <x v="1"/>
    <x v="17"/>
    <x v="9"/>
    <n v="1600"/>
    <n v="12"/>
    <n v="19200"/>
    <x v="2"/>
    <n v="19200"/>
    <n v="20000"/>
    <n v="19000"/>
  </r>
  <r>
    <x v="18"/>
    <x v="3"/>
    <x v="2"/>
    <x v="18"/>
    <x v="9"/>
    <n v="12500"/>
    <n v="7"/>
    <n v="87500"/>
    <x v="1"/>
    <n v="87500"/>
    <n v="88000"/>
    <n v="87000"/>
  </r>
  <r>
    <x v="19"/>
    <x v="4"/>
    <x v="3"/>
    <x v="19"/>
    <x v="10"/>
    <n v="17500"/>
    <n v="3"/>
    <n v="52500"/>
    <x v="1"/>
    <n v="52500"/>
    <n v="53000"/>
    <n v="52000"/>
  </r>
  <r>
    <x v="20"/>
    <x v="5"/>
    <x v="4"/>
    <x v="20"/>
    <x v="10"/>
    <n v="62000"/>
    <n v="2"/>
    <n v="124000"/>
    <x v="1"/>
    <n v="124000"/>
    <n v="124000"/>
    <n v="12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C54E4-6970-4874-8276-1BB5DB4ADA3D}" name="PivotChartTable3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1104529968">
        <x15:pivotRow count="1">
          <x15:c>
            <x15:v>158000</x15:v>
          </x15:c>
        </x15:pivotRow>
        <x15:pivotRow count="1">
          <x15:c>
            <x15:v>258000</x15:v>
          </x15:c>
        </x15:pivotRow>
        <x15:pivotRow count="1">
          <x15:c>
            <x15:v>313000</x15:v>
          </x15:c>
        </x15:pivotRow>
        <x15:pivotRow count="1">
          <x15:c>
            <x15:v>265000</x15:v>
          </x15:c>
        </x15:pivotRow>
        <x15:pivotRow count="1">
          <x15:c>
            <x15:v>994000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Employee Data!$A$1:$I$22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1AAA1-81DA-448D-ACCC-EECBC60307C7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A40:AC66" firstHeaderRow="0" firstDataRow="1" firstDataCol="1"/>
  <pivotFields count="12">
    <pivotField showAll="0">
      <items count="2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t="default"/>
      </items>
    </pivotField>
    <pivotField axis="axisRow" showAll="0">
      <items count="7">
        <item x="3"/>
        <item x="1"/>
        <item x="4"/>
        <item x="2"/>
        <item x="5"/>
        <item x="0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22">
        <item x="9"/>
        <item x="15"/>
        <item x="17"/>
        <item x="2"/>
        <item x="13"/>
        <item x="18"/>
        <item x="11"/>
        <item x="10"/>
        <item x="19"/>
        <item x="4"/>
        <item x="16"/>
        <item x="5"/>
        <item x="12"/>
        <item x="14"/>
        <item x="6"/>
        <item x="8"/>
        <item x="20"/>
        <item x="1"/>
        <item x="3"/>
        <item x="7"/>
        <item x="0"/>
        <item t="default"/>
      </items>
    </pivotField>
    <pivotField axis="axisRow" showAll="0">
      <items count="12">
        <item x="3"/>
        <item x="4"/>
        <item x="1"/>
        <item x="2"/>
        <item x="5"/>
        <item x="8"/>
        <item x="9"/>
        <item x="10"/>
        <item x="6"/>
        <item x="7"/>
        <item h="1" x="0"/>
        <item t="default"/>
      </items>
    </pivotField>
    <pivotField dataField="1" showAll="0"/>
    <pivotField showAll="0"/>
    <pivotField dataField="1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2">
    <field x="1"/>
    <field x="4"/>
  </rowFields>
  <rowItems count="26">
    <i>
      <x/>
    </i>
    <i r="1">
      <x v="1"/>
    </i>
    <i r="1">
      <x v="3"/>
    </i>
    <i r="1">
      <x v="6"/>
    </i>
    <i r="1">
      <x v="9"/>
    </i>
    <i>
      <x v="1"/>
    </i>
    <i r="1">
      <x/>
    </i>
    <i r="1">
      <x v="2"/>
    </i>
    <i r="1">
      <x v="5"/>
    </i>
    <i r="1">
      <x v="8"/>
    </i>
    <i>
      <x v="2"/>
    </i>
    <i r="1">
      <x v="3"/>
    </i>
    <i r="1">
      <x v="4"/>
    </i>
    <i r="1">
      <x v="7"/>
    </i>
    <i r="1">
      <x v="9"/>
    </i>
    <i>
      <x v="3"/>
    </i>
    <i r="1">
      <x v="1"/>
    </i>
    <i r="1">
      <x v="2"/>
    </i>
    <i r="1">
      <x v="6"/>
    </i>
    <i r="1">
      <x v="8"/>
    </i>
    <i>
      <x v="4"/>
    </i>
    <i r="1">
      <x/>
    </i>
    <i r="1">
      <x v="4"/>
    </i>
    <i r="1">
      <x v="5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7" baseField="0" baseItem="0"/>
    <dataField name="Sum of Unit Price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779E7-BFD0-4BEE-AE0A-D967B3709B5E}" name="PivotTable3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V10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1" baseField="0" baseItem="0"/>
    <dataField name="Sum of Unit Price" fld="2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2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D48E5-3E27-45FD-BAC9-33467E72F290}" name="PivotTable14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3:N26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0"/>
    <field x="1"/>
  </rowFields>
  <rowItems count="13">
    <i>
      <x/>
    </i>
    <i r="1">
      <x/>
    </i>
    <i r="1">
      <x v="1"/>
    </i>
    <i>
      <x v="1"/>
    </i>
    <i r="1">
      <x v="2"/>
    </i>
    <i r="1">
      <x/>
    </i>
    <i r="1">
      <x v="1"/>
    </i>
    <i>
      <x v="2"/>
    </i>
    <i r="1">
      <x v="2"/>
    </i>
    <i r="1">
      <x/>
    </i>
    <i r="1">
      <x v="3"/>
    </i>
    <i r="1">
      <x v="1"/>
    </i>
    <i t="grand">
      <x/>
    </i>
  </rowItems>
  <colItems count="1">
    <i/>
  </colItems>
  <dataFields count="1">
    <dataField name="Sum of Salary" fld="2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8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mployee Data!$A$1:$I$22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FA716-E466-4D59-8D9E-0D1895657F26}" name="Table1" displayName="Table1" ref="A1:V22" totalsRowShown="0" dataDxfId="48">
  <autoFilter ref="A1:V22" xr:uid="{D53FA716-E466-4D59-8D9E-0D1895657F26}"/>
  <tableColumns count="22">
    <tableColumn id="1" xr3:uid="{FCF6B42D-A0B9-480C-8E15-9DB99BDA21A0}" name="Student ID" dataDxfId="47"/>
    <tableColumn id="2" xr3:uid="{01818455-0A0D-46C7-BE04-78ED3A3183A2}" name="Full Name" dataDxfId="46"/>
    <tableColumn id="3" xr3:uid="{6F0C2500-DA3D-4522-873B-31B0D62C534B}" name="First Name" dataDxfId="45">
      <calculatedColumnFormula>LEFT(B2,FIND(" ",B2)-1)</calculatedColumnFormula>
    </tableColumn>
    <tableColumn id="4" xr3:uid="{941DC6F1-1888-438E-803D-CD395F678D44}" name="Gender" dataDxfId="44"/>
    <tableColumn id="5" xr3:uid="{5AA67D8D-82FD-4BF0-B593-12974DBF35AA}" name="Course" dataDxfId="43"/>
    <tableColumn id="6" xr3:uid="{199F26BD-CFA6-4202-A609-567FDCB50701}" name="Math" dataDxfId="42"/>
    <tableColumn id="7" xr3:uid="{B0E36087-F880-45F4-8F6D-86F98D39CBA5}" name="Science" dataDxfId="41"/>
    <tableColumn id="8" xr3:uid="{50C77650-5D9A-4986-960B-83BF0F35A350}" name="English" dataDxfId="40"/>
    <tableColumn id="9" xr3:uid="{572E799B-A887-4E47-8C9C-B5814C9A8399}" name="Total Marks" dataDxfId="39">
      <calculatedColumnFormula>SUM(F2:H2)</calculatedColumnFormula>
    </tableColumn>
    <tableColumn id="10" xr3:uid="{5C870DBA-C611-4EBA-BB0C-33CD015E78C5}" name="Percentage" dataDxfId="38">
      <calculatedColumnFormula>(I2/300)*100</calculatedColumnFormula>
    </tableColumn>
    <tableColumn id="11" xr3:uid="{2341F0B9-96BE-412C-8BE7-273A4A9FAF3E}" name="Grade" dataDxfId="37">
      <calculatedColumnFormula>IF(J2&gt;=90,"A+",IF(J2&gt;=80,"A",IF(J2&gt;=70,"B",IF(J2&gt;=60,"C","Fail"))))</calculatedColumnFormula>
    </tableColumn>
    <tableColumn id="12" xr3:uid="{175CD4E8-46AE-431F-9903-C504E2C8EBB2}" name="Rank" dataDxfId="36">
      <calculatedColumnFormula>IF(J2&gt;=97,"First",
IF(J2&gt;=96,"Second", IF(J2&gt;=95,"Third", IF(J2&gt;=94,"Fourth", IF(J2&gt;=93.66666666,"Fifth","Normal")))))</calculatedColumnFormula>
    </tableColumn>
    <tableColumn id="13" xr3:uid="{CD24D4B6-9C0B-4D33-B4A3-52A3FF82B3FD}" name="80 up math&amp;sci" dataDxfId="35">
      <calculatedColumnFormula>IF(AND(F2&gt;=80,G2&gt;=80),"Eligible","Not Eligible")</calculatedColumnFormula>
    </tableColumn>
    <tableColumn id="14" xr3:uid="{9738BA18-3200-49B8-8E95-77CEE8D87528}" name="Top Performace" dataDxfId="34">
      <calculatedColumnFormula>IF(OR(F2&gt;=90,G2&gt;=90),"Top Performer","Normal")</calculatedColumnFormula>
    </tableColumn>
    <tableColumn id="15" xr3:uid="{CA984802-01B0-446C-B2E5-25AD7192A9F0}" name="Fees" dataDxfId="33"/>
    <tableColumn id="16" xr3:uid="{15D4A292-A45F-4E43-B980-D3F2A1F15036}" name="Disscount %" dataDxfId="32">
      <calculatedColumnFormula>IF(J2&gt;=90,25%,IF(J2&gt;=80,20%,IF(J2&gt;=70,10%,0)))</calculatedColumnFormula>
    </tableColumn>
    <tableColumn id="17" xr3:uid="{1ECB2F70-58A3-4BD0-BE90-4B5FDA5AD619}" name="Disscount Amount" dataDxfId="31">
      <calculatedColumnFormula>O2*P2</calculatedColumnFormula>
    </tableColumn>
    <tableColumn id="18" xr3:uid="{A40A1AA6-D895-443F-9D9D-7AA9F64AC45D}" name="Final Fess" dataDxfId="30">
      <calculatedColumnFormula>O2-Q2</calculatedColumnFormula>
    </tableColumn>
    <tableColumn id="19" xr3:uid="{E97464DC-3BA1-44DC-B120-A96E198A580C}" name="DOB" dataDxfId="29"/>
    <tableColumn id="20" xr3:uid="{88A2D3FA-1347-40BF-928B-20B2076D6D3E}" name="Age" dataDxfId="28">
      <calculatedColumnFormula>DATEDIF(S2,TODAY(),"Y")</calculatedColumnFormula>
    </tableColumn>
    <tableColumn id="21" xr3:uid="{DF06A423-B6BE-4C66-8C6F-17E2C01D5340}" name="Join Date" dataDxfId="27"/>
    <tableColumn id="22" xr3:uid="{E45C28DF-90C3-4B0F-8737-5F3C83F03D64}" name=" Since Join" dataDxfId="26">
      <calculatedColumnFormula>DATEDIF(U2,TODAY(),"D") &amp; " Days"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opLeftCell="H8" zoomScale="109" zoomScaleNormal="100" workbookViewId="0">
      <selection activeCell="V37" sqref="V37"/>
    </sheetView>
  </sheetViews>
  <sheetFormatPr defaultRowHeight="15" x14ac:dyDescent="0.25"/>
  <cols>
    <col min="1" max="1" width="16.140625" style="1" customWidth="1"/>
    <col min="2" max="2" width="16.42578125" style="1" customWidth="1"/>
    <col min="3" max="3" width="15.5703125" style="1" customWidth="1"/>
    <col min="4" max="4" width="13.7109375" style="1" customWidth="1"/>
    <col min="5" max="5" width="13" style="1" customWidth="1"/>
    <col min="6" max="6" width="12.42578125" style="1" customWidth="1"/>
    <col min="7" max="7" width="14" style="1" customWidth="1"/>
    <col min="8" max="8" width="13" style="1" customWidth="1"/>
    <col min="9" max="9" width="16.7109375" style="1" customWidth="1"/>
    <col min="10" max="10" width="17.140625" style="1" customWidth="1"/>
    <col min="11" max="11" width="14.42578125" style="1" customWidth="1"/>
    <col min="12" max="12" width="14.85546875" style="1" customWidth="1"/>
    <col min="13" max="13" width="24.140625" style="1" customWidth="1"/>
    <col min="14" max="14" width="21.7109375" style="1" customWidth="1"/>
    <col min="15" max="15" width="13.28515625" style="11" customWidth="1"/>
    <col min="16" max="16" width="15.140625" style="26" customWidth="1"/>
    <col min="17" max="17" width="19.42578125" style="11" customWidth="1"/>
    <col min="18" max="18" width="13.7109375" style="11" customWidth="1"/>
    <col min="19" max="19" width="13.7109375" style="5" customWidth="1"/>
    <col min="20" max="20" width="11.85546875" style="1" customWidth="1"/>
    <col min="21" max="21" width="12.28515625" style="20" customWidth="1"/>
    <col min="22" max="22" width="15" style="1" customWidth="1"/>
  </cols>
  <sheetData>
    <row r="1" spans="1:22" x14ac:dyDescent="0.25">
      <c r="A1" s="38" t="s">
        <v>0</v>
      </c>
      <c r="B1" s="38" t="s">
        <v>1</v>
      </c>
      <c r="C1" s="39" t="s">
        <v>68</v>
      </c>
      <c r="D1" s="36" t="s">
        <v>2</v>
      </c>
      <c r="E1" s="38" t="s">
        <v>3</v>
      </c>
      <c r="F1" s="36" t="s">
        <v>4</v>
      </c>
      <c r="G1" s="36" t="s">
        <v>5</v>
      </c>
      <c r="H1" s="36" t="s">
        <v>6</v>
      </c>
      <c r="I1" s="36" t="s">
        <v>55</v>
      </c>
      <c r="J1" s="53" t="s">
        <v>56</v>
      </c>
      <c r="K1" s="39" t="s">
        <v>57</v>
      </c>
      <c r="L1" s="39" t="s">
        <v>62</v>
      </c>
      <c r="M1" s="39" t="s">
        <v>61</v>
      </c>
      <c r="N1" s="51" t="s">
        <v>72</v>
      </c>
      <c r="O1" s="41" t="s">
        <v>7</v>
      </c>
      <c r="P1" s="43" t="s">
        <v>59</v>
      </c>
      <c r="Q1" s="45" t="s">
        <v>58</v>
      </c>
      <c r="R1" s="45" t="s">
        <v>60</v>
      </c>
      <c r="S1" s="47" t="s">
        <v>8</v>
      </c>
      <c r="T1" s="36" t="s">
        <v>69</v>
      </c>
      <c r="U1" s="49" t="s">
        <v>9</v>
      </c>
      <c r="V1" s="38" t="s">
        <v>70</v>
      </c>
    </row>
    <row r="2" spans="1:22" x14ac:dyDescent="0.25">
      <c r="A2" s="37"/>
      <c r="B2" s="37"/>
      <c r="C2" s="40"/>
      <c r="D2" s="37"/>
      <c r="E2" s="37"/>
      <c r="F2" s="37"/>
      <c r="G2" s="37"/>
      <c r="H2" s="37"/>
      <c r="I2" s="37"/>
      <c r="J2" s="54"/>
      <c r="K2" s="40"/>
      <c r="L2" s="40"/>
      <c r="M2" s="40"/>
      <c r="N2" s="52"/>
      <c r="O2" s="42"/>
      <c r="P2" s="44"/>
      <c r="Q2" s="46"/>
      <c r="R2" s="46"/>
      <c r="S2" s="48"/>
      <c r="T2" s="37"/>
      <c r="U2" s="50"/>
      <c r="V2" s="37"/>
    </row>
    <row r="3" spans="1:22" x14ac:dyDescent="0.25">
      <c r="A3" s="7" t="s">
        <v>10</v>
      </c>
      <c r="B3" s="7" t="s">
        <v>11</v>
      </c>
      <c r="C3" s="7" t="str">
        <f t="shared" ref="C3:C22" si="0">LEFT(B3,FIND(" ",B3)-1)</f>
        <v>Tej</v>
      </c>
      <c r="D3" s="7" t="s">
        <v>12</v>
      </c>
      <c r="E3" s="1" t="s">
        <v>13</v>
      </c>
      <c r="F3" s="1">
        <v>98</v>
      </c>
      <c r="G3" s="1">
        <v>96</v>
      </c>
      <c r="H3" s="1">
        <v>97</v>
      </c>
      <c r="I3" s="1">
        <f t="shared" ref="I3:I22" si="1">SUM(F3:H3)</f>
        <v>291</v>
      </c>
      <c r="J3" s="1">
        <f t="shared" ref="J3:J22" si="2">(I3/300)*100</f>
        <v>97</v>
      </c>
      <c r="K3" s="1" t="str">
        <f t="shared" ref="K3:K22" si="3">IF(J3&gt;=90,"A+",IF(J3&gt;=80,"A",IF(J3&gt;=70,"B",IF(J3&gt;=60,"C","Fail"))))</f>
        <v>A+</v>
      </c>
      <c r="L3" s="7" t="str">
        <f t="shared" ref="L3:L22" si="4">IF(J3&gt;=97,"First",
IF(J3&gt;=96,"Second", IF(J3&gt;=95,"Third", IF(J3&gt;=94,"Fourth", IF(J3&gt;=93.66666666,"Fifth","Normal")))))</f>
        <v>First</v>
      </c>
      <c r="M3" s="7" t="str">
        <f t="shared" ref="M3:M22" si="5">IF(AND(F3&gt;=80,G3&gt;=80),"Eligible","Not Eligible")</f>
        <v>Eligible</v>
      </c>
      <c r="N3" s="1" t="str">
        <f t="shared" ref="N3:N22" si="6">IF(OR(F3&gt;=90,G3&gt;=90),"Top Performer","Normal")</f>
        <v>Top Performer</v>
      </c>
      <c r="O3" s="16">
        <v>50000</v>
      </c>
      <c r="P3" s="26">
        <f t="shared" ref="P3:P22" si="7">IF(J3&gt;=90,25%,IF(J3&gt;=80,20%,IF(J3&gt;=70,10%,0)))</f>
        <v>0.25</v>
      </c>
      <c r="Q3" s="11">
        <f t="shared" ref="Q3:Q22" si="8">O3*P3</f>
        <v>12500</v>
      </c>
      <c r="R3" s="11">
        <f t="shared" ref="R3:R22" si="9">O3-Q3</f>
        <v>37500</v>
      </c>
      <c r="S3" s="6">
        <v>38056</v>
      </c>
      <c r="T3" s="1">
        <f t="shared" ref="T3:T22" ca="1" si="10">DATEDIF(S3,TODAY(),"Y")</f>
        <v>22</v>
      </c>
      <c r="U3" s="20">
        <v>45458</v>
      </c>
      <c r="V3" s="1" t="str">
        <f ca="1">DATEDIF(U3,TODAY(),"D") &amp; " Days"</f>
        <v>743 Days</v>
      </c>
    </row>
    <row r="4" spans="1:22" x14ac:dyDescent="0.25">
      <c r="A4" s="1" t="s">
        <v>14</v>
      </c>
      <c r="B4" s="1" t="s">
        <v>15</v>
      </c>
      <c r="C4" s="1" t="str">
        <f t="shared" si="0"/>
        <v>Diya</v>
      </c>
      <c r="D4" s="1" t="s">
        <v>16</v>
      </c>
      <c r="E4" s="1" t="s">
        <v>13</v>
      </c>
      <c r="F4" s="1">
        <v>95</v>
      </c>
      <c r="G4" s="1">
        <v>97</v>
      </c>
      <c r="H4" s="1">
        <v>96</v>
      </c>
      <c r="I4" s="1">
        <f t="shared" si="1"/>
        <v>288</v>
      </c>
      <c r="J4" s="1">
        <f t="shared" si="2"/>
        <v>96</v>
      </c>
      <c r="K4" s="1" t="str">
        <f t="shared" si="3"/>
        <v>A+</v>
      </c>
      <c r="L4" s="1" t="str">
        <f t="shared" si="4"/>
        <v>Second</v>
      </c>
      <c r="M4" s="1" t="str">
        <f t="shared" si="5"/>
        <v>Eligible</v>
      </c>
      <c r="N4" s="1" t="str">
        <f t="shared" si="6"/>
        <v>Top Performer</v>
      </c>
      <c r="O4" s="11">
        <v>50000</v>
      </c>
      <c r="P4" s="26">
        <f t="shared" si="7"/>
        <v>0.25</v>
      </c>
      <c r="Q4" s="11">
        <f t="shared" si="8"/>
        <v>12500</v>
      </c>
      <c r="R4" s="11">
        <f t="shared" si="9"/>
        <v>37500</v>
      </c>
      <c r="S4" s="5">
        <v>38213</v>
      </c>
      <c r="T4" s="1">
        <f t="shared" ca="1" si="10"/>
        <v>21</v>
      </c>
      <c r="U4" s="20">
        <v>45459</v>
      </c>
      <c r="V4" s="1" t="str">
        <f t="shared" ref="V4:V22" ca="1" si="11">DATEDIF(U4,TODAY(),"D") &amp; " Days"</f>
        <v>742 Days</v>
      </c>
    </row>
    <row r="5" spans="1:22" x14ac:dyDescent="0.25">
      <c r="A5" s="1" t="s">
        <v>17</v>
      </c>
      <c r="B5" s="1" t="s">
        <v>18</v>
      </c>
      <c r="C5" s="1" t="str">
        <f t="shared" si="0"/>
        <v>Vandita</v>
      </c>
      <c r="D5" s="1" t="s">
        <v>16</v>
      </c>
      <c r="E5" s="1" t="s">
        <v>13</v>
      </c>
      <c r="F5" s="1">
        <v>96</v>
      </c>
      <c r="G5" s="1">
        <v>95</v>
      </c>
      <c r="H5" s="1">
        <v>94</v>
      </c>
      <c r="I5" s="1">
        <f t="shared" si="1"/>
        <v>285</v>
      </c>
      <c r="J5" s="1">
        <f t="shared" si="2"/>
        <v>95</v>
      </c>
      <c r="K5" s="1" t="str">
        <f t="shared" si="3"/>
        <v>A+</v>
      </c>
      <c r="L5" s="1" t="str">
        <f t="shared" si="4"/>
        <v>Third</v>
      </c>
      <c r="M5" s="1" t="str">
        <f t="shared" si="5"/>
        <v>Eligible</v>
      </c>
      <c r="N5" s="1" t="str">
        <f t="shared" si="6"/>
        <v>Top Performer</v>
      </c>
      <c r="O5" s="11">
        <v>50000</v>
      </c>
      <c r="P5" s="26">
        <f t="shared" si="7"/>
        <v>0.25</v>
      </c>
      <c r="Q5" s="11">
        <f t="shared" si="8"/>
        <v>12500</v>
      </c>
      <c r="R5" s="11">
        <f t="shared" si="9"/>
        <v>37500</v>
      </c>
      <c r="S5" s="5">
        <v>36899</v>
      </c>
      <c r="T5" s="1">
        <f t="shared" ca="1" si="10"/>
        <v>25</v>
      </c>
      <c r="U5" s="20">
        <v>45462</v>
      </c>
      <c r="V5" s="1" t="str">
        <f t="shared" ca="1" si="11"/>
        <v>739 Days</v>
      </c>
    </row>
    <row r="6" spans="1:22" x14ac:dyDescent="0.25">
      <c r="A6" s="1" t="s">
        <v>19</v>
      </c>
      <c r="B6" s="1" t="s">
        <v>20</v>
      </c>
      <c r="C6" s="1" t="str">
        <f t="shared" si="0"/>
        <v>Krish</v>
      </c>
      <c r="D6" s="1" t="s">
        <v>12</v>
      </c>
      <c r="E6" s="1" t="s">
        <v>21</v>
      </c>
      <c r="F6" s="1">
        <v>88</v>
      </c>
      <c r="G6" s="1">
        <v>86</v>
      </c>
      <c r="H6" s="1">
        <v>90</v>
      </c>
      <c r="I6" s="1">
        <f t="shared" si="1"/>
        <v>264</v>
      </c>
      <c r="J6" s="1">
        <f t="shared" si="2"/>
        <v>88</v>
      </c>
      <c r="K6" s="1" t="str">
        <f t="shared" si="3"/>
        <v>A</v>
      </c>
      <c r="L6" s="1" t="str">
        <f t="shared" si="4"/>
        <v>Normal</v>
      </c>
      <c r="M6" s="1" t="str">
        <f t="shared" si="5"/>
        <v>Eligible</v>
      </c>
      <c r="N6" s="1" t="str">
        <f t="shared" si="6"/>
        <v>Normal</v>
      </c>
      <c r="O6" s="11">
        <v>45000</v>
      </c>
      <c r="P6" s="26">
        <f t="shared" si="7"/>
        <v>0.2</v>
      </c>
      <c r="Q6" s="11">
        <f t="shared" si="8"/>
        <v>9000</v>
      </c>
      <c r="R6" s="11">
        <f t="shared" si="9"/>
        <v>36000</v>
      </c>
      <c r="S6" s="5">
        <v>38447</v>
      </c>
      <c r="T6" s="1">
        <f t="shared" ca="1" si="10"/>
        <v>21</v>
      </c>
      <c r="U6" s="20">
        <v>45453</v>
      </c>
      <c r="V6" s="1" t="str">
        <f t="shared" ca="1" si="11"/>
        <v>748 Days</v>
      </c>
    </row>
    <row r="7" spans="1:22" x14ac:dyDescent="0.25">
      <c r="A7" s="1" t="s">
        <v>22</v>
      </c>
      <c r="B7" s="1" t="s">
        <v>23</v>
      </c>
      <c r="C7" s="1" t="str">
        <f t="shared" si="0"/>
        <v>Meet</v>
      </c>
      <c r="D7" s="1" t="s">
        <v>12</v>
      </c>
      <c r="E7" s="1" t="s">
        <v>24</v>
      </c>
      <c r="F7" s="1">
        <v>85</v>
      </c>
      <c r="G7" s="1">
        <v>82</v>
      </c>
      <c r="H7" s="1">
        <v>80</v>
      </c>
      <c r="I7" s="1">
        <f t="shared" si="1"/>
        <v>247</v>
      </c>
      <c r="J7" s="1">
        <f t="shared" si="2"/>
        <v>82.333333333333343</v>
      </c>
      <c r="K7" s="1" t="str">
        <f t="shared" si="3"/>
        <v>A</v>
      </c>
      <c r="L7" s="1" t="str">
        <f t="shared" si="4"/>
        <v>Normal</v>
      </c>
      <c r="M7" s="1" t="str">
        <f t="shared" si="5"/>
        <v>Eligible</v>
      </c>
      <c r="N7" s="1" t="str">
        <f t="shared" si="6"/>
        <v>Normal</v>
      </c>
      <c r="O7" s="11">
        <v>45000</v>
      </c>
      <c r="P7" s="26">
        <f t="shared" si="7"/>
        <v>0.2</v>
      </c>
      <c r="Q7" s="11">
        <f t="shared" si="8"/>
        <v>9000</v>
      </c>
      <c r="R7" s="11">
        <f t="shared" si="9"/>
        <v>36000</v>
      </c>
      <c r="S7" s="5">
        <v>38548</v>
      </c>
      <c r="T7" s="1">
        <f t="shared" ca="1" si="10"/>
        <v>20</v>
      </c>
      <c r="U7" s="20">
        <v>45463</v>
      </c>
      <c r="V7" s="1" t="str">
        <f t="shared" ca="1" si="11"/>
        <v>738 Days</v>
      </c>
    </row>
    <row r="8" spans="1:22" x14ac:dyDescent="0.25">
      <c r="A8" s="1" t="s">
        <v>25</v>
      </c>
      <c r="B8" s="1" t="s">
        <v>26</v>
      </c>
      <c r="C8" s="1" t="str">
        <f t="shared" si="0"/>
        <v>Priya</v>
      </c>
      <c r="D8" s="1" t="s">
        <v>16</v>
      </c>
      <c r="E8" s="1" t="s">
        <v>13</v>
      </c>
      <c r="F8" s="1">
        <v>78</v>
      </c>
      <c r="G8" s="1">
        <v>80</v>
      </c>
      <c r="H8" s="1">
        <v>82</v>
      </c>
      <c r="I8" s="1">
        <f t="shared" si="1"/>
        <v>240</v>
      </c>
      <c r="J8" s="1">
        <f t="shared" si="2"/>
        <v>80</v>
      </c>
      <c r="K8" s="1" t="str">
        <f t="shared" si="3"/>
        <v>A</v>
      </c>
      <c r="L8" s="1" t="str">
        <f t="shared" si="4"/>
        <v>Normal</v>
      </c>
      <c r="M8" s="1" t="str">
        <f t="shared" si="5"/>
        <v>Not Eligible</v>
      </c>
      <c r="N8" s="1" t="str">
        <f t="shared" si="6"/>
        <v>Normal</v>
      </c>
      <c r="O8" s="11">
        <v>50000</v>
      </c>
      <c r="P8" s="26">
        <f t="shared" si="7"/>
        <v>0.2</v>
      </c>
      <c r="Q8" s="11">
        <f t="shared" si="8"/>
        <v>10000</v>
      </c>
      <c r="R8" s="11">
        <f t="shared" si="9"/>
        <v>40000</v>
      </c>
      <c r="S8" s="5">
        <v>38677</v>
      </c>
      <c r="T8" s="1">
        <f t="shared" ca="1" si="10"/>
        <v>20</v>
      </c>
      <c r="U8" s="20">
        <v>45458</v>
      </c>
      <c r="V8" s="1" t="str">
        <f t="shared" ca="1" si="11"/>
        <v>743 Days</v>
      </c>
    </row>
    <row r="9" spans="1:22" x14ac:dyDescent="0.25">
      <c r="A9" s="1" t="s">
        <v>27</v>
      </c>
      <c r="B9" s="1" t="s">
        <v>28</v>
      </c>
      <c r="C9" s="1" t="str">
        <f t="shared" si="0"/>
        <v>Yash</v>
      </c>
      <c r="D9" s="1" t="s">
        <v>12</v>
      </c>
      <c r="E9" s="1" t="s">
        <v>21</v>
      </c>
      <c r="F9" s="1">
        <v>70</v>
      </c>
      <c r="G9" s="1">
        <v>75</v>
      </c>
      <c r="H9" s="1">
        <v>72</v>
      </c>
      <c r="I9" s="1">
        <f t="shared" si="1"/>
        <v>217</v>
      </c>
      <c r="J9" s="1">
        <f t="shared" si="2"/>
        <v>72.333333333333343</v>
      </c>
      <c r="K9" s="1" t="str">
        <f t="shared" si="3"/>
        <v>B</v>
      </c>
      <c r="L9" s="1" t="str">
        <f t="shared" si="4"/>
        <v>Normal</v>
      </c>
      <c r="M9" s="1" t="str">
        <f t="shared" si="5"/>
        <v>Not Eligible</v>
      </c>
      <c r="N9" s="1" t="str">
        <f t="shared" si="6"/>
        <v>Normal</v>
      </c>
      <c r="O9" s="11">
        <v>45000</v>
      </c>
      <c r="P9" s="26">
        <f t="shared" si="7"/>
        <v>0.1</v>
      </c>
      <c r="Q9" s="11">
        <f t="shared" si="8"/>
        <v>4500</v>
      </c>
      <c r="R9" s="11">
        <f t="shared" si="9"/>
        <v>40500</v>
      </c>
      <c r="S9" s="5">
        <v>38414</v>
      </c>
      <c r="T9" s="1">
        <f t="shared" ca="1" si="10"/>
        <v>21</v>
      </c>
      <c r="U9" s="20">
        <v>45455</v>
      </c>
      <c r="V9" s="1" t="str">
        <f t="shared" ca="1" si="11"/>
        <v>746 Days</v>
      </c>
    </row>
    <row r="10" spans="1:22" x14ac:dyDescent="0.25">
      <c r="A10" s="1" t="s">
        <v>29</v>
      </c>
      <c r="B10" s="1" t="s">
        <v>30</v>
      </c>
      <c r="C10" s="1" t="str">
        <f t="shared" si="0"/>
        <v>Riya</v>
      </c>
      <c r="D10" s="1" t="s">
        <v>16</v>
      </c>
      <c r="E10" s="1" t="s">
        <v>24</v>
      </c>
      <c r="F10" s="1">
        <v>68</v>
      </c>
      <c r="G10" s="1">
        <v>70</v>
      </c>
      <c r="H10" s="1">
        <v>65</v>
      </c>
      <c r="I10" s="1">
        <f t="shared" si="1"/>
        <v>203</v>
      </c>
      <c r="J10" s="1">
        <f t="shared" si="2"/>
        <v>67.666666666666657</v>
      </c>
      <c r="K10" s="1" t="str">
        <f t="shared" si="3"/>
        <v>C</v>
      </c>
      <c r="L10" s="1" t="str">
        <f t="shared" si="4"/>
        <v>Normal</v>
      </c>
      <c r="M10" s="1" t="str">
        <f t="shared" si="5"/>
        <v>Not Eligible</v>
      </c>
      <c r="N10" s="1" t="str">
        <f t="shared" si="6"/>
        <v>Normal</v>
      </c>
      <c r="O10" s="11">
        <v>45000</v>
      </c>
      <c r="P10" s="26">
        <f t="shared" si="7"/>
        <v>0</v>
      </c>
      <c r="Q10" s="11">
        <f t="shared" si="8"/>
        <v>0</v>
      </c>
      <c r="R10" s="11">
        <f t="shared" si="9"/>
        <v>45000</v>
      </c>
      <c r="S10" s="5">
        <v>38614</v>
      </c>
      <c r="T10" s="1">
        <f t="shared" ca="1" si="10"/>
        <v>20</v>
      </c>
      <c r="U10" s="20">
        <v>45461</v>
      </c>
      <c r="V10" s="1" t="str">
        <f t="shared" ca="1" si="11"/>
        <v>740 Days</v>
      </c>
    </row>
    <row r="11" spans="1:22" x14ac:dyDescent="0.25">
      <c r="A11" s="1" t="s">
        <v>31</v>
      </c>
      <c r="B11" s="1" t="s">
        <v>32</v>
      </c>
      <c r="C11" s="1" t="str">
        <f t="shared" si="0"/>
        <v>Aarav</v>
      </c>
      <c r="D11" s="1" t="s">
        <v>12</v>
      </c>
      <c r="E11" s="1" t="s">
        <v>13</v>
      </c>
      <c r="F11" s="1">
        <v>60</v>
      </c>
      <c r="G11" s="1">
        <v>62</v>
      </c>
      <c r="H11" s="1">
        <v>64</v>
      </c>
      <c r="I11" s="1">
        <f t="shared" si="1"/>
        <v>186</v>
      </c>
      <c r="J11" s="1">
        <f t="shared" si="2"/>
        <v>62</v>
      </c>
      <c r="K11" s="1" t="str">
        <f t="shared" si="3"/>
        <v>C</v>
      </c>
      <c r="L11" s="1" t="str">
        <f t="shared" si="4"/>
        <v>Normal</v>
      </c>
      <c r="M11" s="1" t="str">
        <f t="shared" si="5"/>
        <v>Not Eligible</v>
      </c>
      <c r="N11" s="1" t="str">
        <f t="shared" si="6"/>
        <v>Normal</v>
      </c>
      <c r="O11" s="11">
        <v>50000</v>
      </c>
      <c r="P11" s="26">
        <f t="shared" si="7"/>
        <v>0</v>
      </c>
      <c r="Q11" s="11">
        <f t="shared" si="8"/>
        <v>0</v>
      </c>
      <c r="R11" s="11">
        <f t="shared" si="9"/>
        <v>50000</v>
      </c>
      <c r="S11" s="5">
        <v>38360</v>
      </c>
      <c r="T11" s="1">
        <f t="shared" ca="1" si="10"/>
        <v>21</v>
      </c>
      <c r="U11" s="20">
        <v>45465</v>
      </c>
      <c r="V11" s="1" t="str">
        <f t="shared" ca="1" si="11"/>
        <v>736 Days</v>
      </c>
    </row>
    <row r="12" spans="1:22" x14ac:dyDescent="0.25">
      <c r="A12" s="1" t="s">
        <v>33</v>
      </c>
      <c r="B12" s="1" t="s">
        <v>34</v>
      </c>
      <c r="C12" s="1" t="str">
        <f t="shared" si="0"/>
        <v>Kavya</v>
      </c>
      <c r="D12" s="1" t="s">
        <v>16</v>
      </c>
      <c r="E12" s="1" t="s">
        <v>21</v>
      </c>
      <c r="F12" s="1">
        <v>58</v>
      </c>
      <c r="G12" s="1">
        <v>55</v>
      </c>
      <c r="H12" s="1">
        <v>60</v>
      </c>
      <c r="I12" s="1">
        <f t="shared" si="1"/>
        <v>173</v>
      </c>
      <c r="J12" s="1">
        <f t="shared" si="2"/>
        <v>57.666666666666664</v>
      </c>
      <c r="K12" s="1" t="str">
        <f t="shared" si="3"/>
        <v>Fail</v>
      </c>
      <c r="L12" s="1" t="str">
        <f t="shared" si="4"/>
        <v>Normal</v>
      </c>
      <c r="M12" s="1" t="str">
        <f t="shared" si="5"/>
        <v>Not Eligible</v>
      </c>
      <c r="N12" s="1" t="str">
        <f t="shared" si="6"/>
        <v>Normal</v>
      </c>
      <c r="O12" s="11">
        <v>45000</v>
      </c>
      <c r="P12" s="26">
        <f t="shared" si="7"/>
        <v>0</v>
      </c>
      <c r="Q12" s="11">
        <f t="shared" si="8"/>
        <v>0</v>
      </c>
      <c r="R12" s="11">
        <f t="shared" si="9"/>
        <v>45000</v>
      </c>
      <c r="S12" s="5">
        <v>38394</v>
      </c>
      <c r="T12" s="1">
        <f t="shared" ca="1" si="10"/>
        <v>21</v>
      </c>
      <c r="U12" s="20">
        <v>45451</v>
      </c>
      <c r="V12" s="1" t="str">
        <f t="shared" ca="1" si="11"/>
        <v>750 Days</v>
      </c>
    </row>
    <row r="13" spans="1:22" x14ac:dyDescent="0.25">
      <c r="A13" s="1" t="s">
        <v>35</v>
      </c>
      <c r="B13" s="1" t="s">
        <v>36</v>
      </c>
      <c r="C13" s="1" t="str">
        <f t="shared" si="0"/>
        <v>Jay</v>
      </c>
      <c r="D13" s="1" t="s">
        <v>12</v>
      </c>
      <c r="E13" s="1" t="s">
        <v>24</v>
      </c>
      <c r="F13" s="1">
        <v>52</v>
      </c>
      <c r="G13" s="1">
        <v>50</v>
      </c>
      <c r="H13" s="1">
        <v>55</v>
      </c>
      <c r="I13" s="1">
        <f t="shared" si="1"/>
        <v>157</v>
      </c>
      <c r="J13" s="1">
        <f t="shared" si="2"/>
        <v>52.333333333333329</v>
      </c>
      <c r="K13" s="1" t="str">
        <f t="shared" si="3"/>
        <v>Fail</v>
      </c>
      <c r="L13" s="1" t="str">
        <f t="shared" si="4"/>
        <v>Normal</v>
      </c>
      <c r="M13" s="1" t="str">
        <f t="shared" si="5"/>
        <v>Not Eligible</v>
      </c>
      <c r="N13" s="1" t="str">
        <f t="shared" si="6"/>
        <v>Normal</v>
      </c>
      <c r="O13" s="11">
        <v>45000</v>
      </c>
      <c r="P13" s="26">
        <f t="shared" si="7"/>
        <v>0</v>
      </c>
      <c r="Q13" s="11">
        <f t="shared" si="8"/>
        <v>0</v>
      </c>
      <c r="R13" s="11">
        <f t="shared" si="9"/>
        <v>45000</v>
      </c>
      <c r="S13" s="5">
        <v>38711</v>
      </c>
      <c r="T13" s="1">
        <f t="shared" ca="1" si="10"/>
        <v>20</v>
      </c>
      <c r="U13" s="20">
        <v>45468</v>
      </c>
      <c r="V13" s="1" t="str">
        <f t="shared" ca="1" si="11"/>
        <v>733 Days</v>
      </c>
    </row>
    <row r="14" spans="1:22" x14ac:dyDescent="0.25">
      <c r="A14" s="1" t="s">
        <v>37</v>
      </c>
      <c r="B14" s="1" t="s">
        <v>38</v>
      </c>
      <c r="C14" s="1" t="str">
        <f t="shared" si="0"/>
        <v>Neha</v>
      </c>
      <c r="D14" s="1" t="s">
        <v>16</v>
      </c>
      <c r="E14" s="1" t="s">
        <v>13</v>
      </c>
      <c r="F14" s="1">
        <v>45</v>
      </c>
      <c r="G14" s="1">
        <v>48</v>
      </c>
      <c r="H14" s="1">
        <v>50</v>
      </c>
      <c r="I14" s="1">
        <f t="shared" si="1"/>
        <v>143</v>
      </c>
      <c r="J14" s="1">
        <f t="shared" si="2"/>
        <v>47.666666666666671</v>
      </c>
      <c r="K14" s="1" t="str">
        <f t="shared" si="3"/>
        <v>Fail</v>
      </c>
      <c r="L14" s="1" t="str">
        <f t="shared" si="4"/>
        <v>Normal</v>
      </c>
      <c r="M14" s="1" t="str">
        <f t="shared" si="5"/>
        <v>Not Eligible</v>
      </c>
      <c r="N14" s="1" t="str">
        <f t="shared" si="6"/>
        <v>Normal</v>
      </c>
      <c r="O14" s="11">
        <v>50000</v>
      </c>
      <c r="P14" s="26">
        <f t="shared" si="7"/>
        <v>0</v>
      </c>
      <c r="Q14" s="11">
        <f t="shared" si="8"/>
        <v>0</v>
      </c>
      <c r="R14" s="11">
        <f t="shared" si="9"/>
        <v>50000</v>
      </c>
      <c r="S14" s="5">
        <v>38626</v>
      </c>
      <c r="T14" s="1">
        <f t="shared" ca="1" si="10"/>
        <v>20</v>
      </c>
      <c r="U14" s="20">
        <v>45471</v>
      </c>
      <c r="V14" s="1" t="str">
        <f t="shared" ca="1" si="11"/>
        <v>730 Days</v>
      </c>
    </row>
    <row r="15" spans="1:22" x14ac:dyDescent="0.25">
      <c r="A15" s="1" t="s">
        <v>39</v>
      </c>
      <c r="B15" s="1" t="s">
        <v>40</v>
      </c>
      <c r="C15" s="1" t="str">
        <f t="shared" si="0"/>
        <v>Harsh</v>
      </c>
      <c r="D15" s="1" t="s">
        <v>12</v>
      </c>
      <c r="E15" s="1" t="s">
        <v>21</v>
      </c>
      <c r="F15" s="1">
        <v>82</v>
      </c>
      <c r="G15" s="1">
        <v>84</v>
      </c>
      <c r="H15" s="1">
        <v>80</v>
      </c>
      <c r="I15" s="1">
        <f t="shared" si="1"/>
        <v>246</v>
      </c>
      <c r="J15" s="1">
        <f t="shared" si="2"/>
        <v>82</v>
      </c>
      <c r="K15" s="1" t="str">
        <f t="shared" si="3"/>
        <v>A</v>
      </c>
      <c r="L15" s="1" t="str">
        <f t="shared" si="4"/>
        <v>Normal</v>
      </c>
      <c r="M15" s="1" t="str">
        <f t="shared" si="5"/>
        <v>Eligible</v>
      </c>
      <c r="N15" s="1" t="str">
        <f t="shared" si="6"/>
        <v>Normal</v>
      </c>
      <c r="O15" s="11">
        <v>45000</v>
      </c>
      <c r="P15" s="26">
        <f t="shared" si="7"/>
        <v>0.2</v>
      </c>
      <c r="Q15" s="11">
        <f t="shared" si="8"/>
        <v>9000</v>
      </c>
      <c r="R15" s="11">
        <f t="shared" si="9"/>
        <v>36000</v>
      </c>
      <c r="S15" s="5">
        <v>38456</v>
      </c>
      <c r="T15" s="1">
        <f t="shared" ca="1" si="10"/>
        <v>21</v>
      </c>
      <c r="U15" s="20">
        <v>45459</v>
      </c>
      <c r="V15" s="1" t="str">
        <f t="shared" ca="1" si="11"/>
        <v>742 Days</v>
      </c>
    </row>
    <row r="16" spans="1:22" x14ac:dyDescent="0.25">
      <c r="A16" s="1" t="s">
        <v>41</v>
      </c>
      <c r="B16" s="1" t="s">
        <v>42</v>
      </c>
      <c r="C16" s="1" t="str">
        <f t="shared" si="0"/>
        <v>Pooja</v>
      </c>
      <c r="D16" s="1" t="s">
        <v>16</v>
      </c>
      <c r="E16" s="1" t="s">
        <v>24</v>
      </c>
      <c r="F16" s="1">
        <v>89</v>
      </c>
      <c r="G16" s="1">
        <v>90</v>
      </c>
      <c r="H16" s="1">
        <v>88</v>
      </c>
      <c r="I16" s="1">
        <f t="shared" si="1"/>
        <v>267</v>
      </c>
      <c r="J16" s="1">
        <f t="shared" si="2"/>
        <v>89</v>
      </c>
      <c r="K16" s="1" t="str">
        <f t="shared" si="3"/>
        <v>A</v>
      </c>
      <c r="L16" s="1" t="str">
        <f t="shared" si="4"/>
        <v>Normal</v>
      </c>
      <c r="M16" s="1" t="str">
        <f t="shared" si="5"/>
        <v>Eligible</v>
      </c>
      <c r="N16" s="1" t="str">
        <f t="shared" si="6"/>
        <v>Top Performer</v>
      </c>
      <c r="O16" s="11">
        <v>45000</v>
      </c>
      <c r="P16" s="26">
        <f t="shared" si="7"/>
        <v>0.2</v>
      </c>
      <c r="Q16" s="11">
        <f t="shared" si="8"/>
        <v>9000</v>
      </c>
      <c r="R16" s="11">
        <f t="shared" si="9"/>
        <v>36000</v>
      </c>
      <c r="S16" s="5">
        <v>38489</v>
      </c>
      <c r="T16" s="1">
        <f t="shared" ca="1" si="10"/>
        <v>21</v>
      </c>
      <c r="U16" s="20">
        <v>45460</v>
      </c>
      <c r="V16" s="1" t="str">
        <f t="shared" ca="1" si="11"/>
        <v>741 Days</v>
      </c>
    </row>
    <row r="17" spans="1:22" x14ac:dyDescent="0.25">
      <c r="A17" s="1" t="s">
        <v>43</v>
      </c>
      <c r="B17" s="1" t="s">
        <v>44</v>
      </c>
      <c r="C17" s="1" t="str">
        <f t="shared" si="0"/>
        <v>Dev</v>
      </c>
      <c r="D17" s="1" t="s">
        <v>12</v>
      </c>
      <c r="E17" s="1" t="s">
        <v>13</v>
      </c>
      <c r="F17" s="1">
        <v>93</v>
      </c>
      <c r="G17" s="1">
        <v>95</v>
      </c>
      <c r="H17" s="1">
        <v>94</v>
      </c>
      <c r="I17" s="1">
        <f t="shared" si="1"/>
        <v>282</v>
      </c>
      <c r="J17" s="1">
        <f t="shared" si="2"/>
        <v>94</v>
      </c>
      <c r="K17" s="1" t="str">
        <f t="shared" si="3"/>
        <v>A+</v>
      </c>
      <c r="L17" s="1" t="str">
        <f t="shared" si="4"/>
        <v>Fourth</v>
      </c>
      <c r="M17" s="1" t="str">
        <f t="shared" si="5"/>
        <v>Eligible</v>
      </c>
      <c r="N17" s="1" t="str">
        <f t="shared" si="6"/>
        <v>Top Performer</v>
      </c>
      <c r="O17" s="11">
        <v>50000</v>
      </c>
      <c r="P17" s="26">
        <f t="shared" si="7"/>
        <v>0.25</v>
      </c>
      <c r="Q17" s="11">
        <f t="shared" si="8"/>
        <v>12500</v>
      </c>
      <c r="R17" s="11">
        <f t="shared" si="9"/>
        <v>37500</v>
      </c>
      <c r="S17" s="5">
        <v>38381</v>
      </c>
      <c r="T17" s="1">
        <f t="shared" ca="1" si="10"/>
        <v>21</v>
      </c>
      <c r="U17" s="20">
        <v>45458</v>
      </c>
      <c r="V17" s="1" t="str">
        <f t="shared" ca="1" si="11"/>
        <v>743 Days</v>
      </c>
    </row>
    <row r="18" spans="1:22" x14ac:dyDescent="0.25">
      <c r="A18" s="1" t="s">
        <v>45</v>
      </c>
      <c r="B18" s="1" t="s">
        <v>46</v>
      </c>
      <c r="C18" s="1" t="str">
        <f t="shared" si="0"/>
        <v>Mansi</v>
      </c>
      <c r="D18" s="1" t="s">
        <v>16</v>
      </c>
      <c r="E18" s="1" t="s">
        <v>21</v>
      </c>
      <c r="F18" s="1">
        <v>95</v>
      </c>
      <c r="G18" s="1">
        <v>94</v>
      </c>
      <c r="H18" s="1">
        <v>92</v>
      </c>
      <c r="I18" s="1">
        <f t="shared" si="1"/>
        <v>281</v>
      </c>
      <c r="J18" s="1">
        <f t="shared" si="2"/>
        <v>93.666666666666671</v>
      </c>
      <c r="K18" s="1" t="str">
        <f t="shared" si="3"/>
        <v>A+</v>
      </c>
      <c r="L18" s="1" t="str">
        <f t="shared" si="4"/>
        <v>Fifth</v>
      </c>
      <c r="M18" s="1" t="str">
        <f t="shared" si="5"/>
        <v>Eligible</v>
      </c>
      <c r="N18" s="1" t="str">
        <f t="shared" si="6"/>
        <v>Top Performer</v>
      </c>
      <c r="O18" s="11">
        <v>45000</v>
      </c>
      <c r="P18" s="26">
        <f t="shared" si="7"/>
        <v>0.25</v>
      </c>
      <c r="Q18" s="11">
        <f t="shared" si="8"/>
        <v>11250</v>
      </c>
      <c r="R18" s="11">
        <f t="shared" si="9"/>
        <v>33750</v>
      </c>
      <c r="S18" s="5">
        <v>38555</v>
      </c>
      <c r="T18" s="1">
        <f t="shared" ca="1" si="10"/>
        <v>20</v>
      </c>
      <c r="U18" s="20">
        <v>45453</v>
      </c>
      <c r="V18" s="1" t="str">
        <f t="shared" ca="1" si="11"/>
        <v>748 Days</v>
      </c>
    </row>
    <row r="19" spans="1:22" x14ac:dyDescent="0.25">
      <c r="A19" s="1" t="s">
        <v>47</v>
      </c>
      <c r="B19" s="1" t="s">
        <v>48</v>
      </c>
      <c r="C19" s="1" t="str">
        <f t="shared" si="0"/>
        <v>Dhruv</v>
      </c>
      <c r="D19" s="1" t="s">
        <v>12</v>
      </c>
      <c r="E19" s="1" t="s">
        <v>24</v>
      </c>
      <c r="F19" s="1">
        <v>76</v>
      </c>
      <c r="G19" s="1">
        <v>78</v>
      </c>
      <c r="H19" s="1">
        <v>80</v>
      </c>
      <c r="I19" s="1">
        <f t="shared" si="1"/>
        <v>234</v>
      </c>
      <c r="J19" s="1">
        <f t="shared" si="2"/>
        <v>78</v>
      </c>
      <c r="K19" s="1" t="str">
        <f t="shared" si="3"/>
        <v>B</v>
      </c>
      <c r="L19" s="1" t="str">
        <f t="shared" si="4"/>
        <v>Normal</v>
      </c>
      <c r="M19" s="1" t="str">
        <f t="shared" si="5"/>
        <v>Not Eligible</v>
      </c>
      <c r="N19" s="1" t="str">
        <f t="shared" si="6"/>
        <v>Normal</v>
      </c>
      <c r="O19" s="11">
        <v>45000</v>
      </c>
      <c r="P19" s="26">
        <f t="shared" si="7"/>
        <v>0.1</v>
      </c>
      <c r="Q19" s="11">
        <f t="shared" si="8"/>
        <v>4500</v>
      </c>
      <c r="R19" s="11">
        <f t="shared" si="9"/>
        <v>40500</v>
      </c>
      <c r="S19" s="5">
        <v>38580</v>
      </c>
      <c r="T19" s="1">
        <f t="shared" ca="1" si="10"/>
        <v>20</v>
      </c>
      <c r="U19" s="20">
        <v>45461</v>
      </c>
      <c r="V19" s="1" t="str">
        <f t="shared" ca="1" si="11"/>
        <v>740 Days</v>
      </c>
    </row>
    <row r="20" spans="1:22" x14ac:dyDescent="0.25">
      <c r="A20" s="1" t="s">
        <v>49</v>
      </c>
      <c r="B20" s="1" t="s">
        <v>50</v>
      </c>
      <c r="C20" s="1" t="str">
        <f t="shared" si="0"/>
        <v>Het</v>
      </c>
      <c r="D20" s="1" t="s">
        <v>12</v>
      </c>
      <c r="E20" s="1" t="s">
        <v>13</v>
      </c>
      <c r="F20" s="1">
        <v>66</v>
      </c>
      <c r="G20" s="1">
        <v>68</v>
      </c>
      <c r="H20" s="1">
        <v>70</v>
      </c>
      <c r="I20" s="1">
        <f t="shared" si="1"/>
        <v>204</v>
      </c>
      <c r="J20" s="1">
        <f t="shared" si="2"/>
        <v>68</v>
      </c>
      <c r="K20" s="1" t="str">
        <f t="shared" si="3"/>
        <v>C</v>
      </c>
      <c r="L20" s="1" t="str">
        <f t="shared" si="4"/>
        <v>Normal</v>
      </c>
      <c r="M20" s="1" t="str">
        <f t="shared" si="5"/>
        <v>Not Eligible</v>
      </c>
      <c r="N20" s="1" t="str">
        <f t="shared" si="6"/>
        <v>Normal</v>
      </c>
      <c r="O20" s="11">
        <v>50000</v>
      </c>
      <c r="P20" s="26">
        <f t="shared" si="7"/>
        <v>0</v>
      </c>
      <c r="Q20" s="11">
        <f t="shared" si="8"/>
        <v>0</v>
      </c>
      <c r="R20" s="11">
        <f t="shared" si="9"/>
        <v>50000</v>
      </c>
      <c r="S20" s="5">
        <v>38665</v>
      </c>
      <c r="T20" s="1">
        <f t="shared" ca="1" si="10"/>
        <v>20</v>
      </c>
      <c r="U20" s="20">
        <v>45463</v>
      </c>
      <c r="V20" s="1" t="str">
        <f t="shared" ca="1" si="11"/>
        <v>738 Days</v>
      </c>
    </row>
    <row r="21" spans="1:22" x14ac:dyDescent="0.25">
      <c r="A21" s="1" t="s">
        <v>51</v>
      </c>
      <c r="B21" s="1" t="s">
        <v>52</v>
      </c>
      <c r="C21" s="1" t="str">
        <f t="shared" si="0"/>
        <v>Khushi</v>
      </c>
      <c r="D21" s="1" t="s">
        <v>16</v>
      </c>
      <c r="E21" s="1" t="s">
        <v>21</v>
      </c>
      <c r="F21" s="1">
        <v>91</v>
      </c>
      <c r="G21" s="1">
        <v>89</v>
      </c>
      <c r="H21" s="1">
        <v>90</v>
      </c>
      <c r="I21" s="1">
        <f t="shared" si="1"/>
        <v>270</v>
      </c>
      <c r="J21" s="1">
        <f t="shared" si="2"/>
        <v>90</v>
      </c>
      <c r="K21" s="1" t="str">
        <f t="shared" si="3"/>
        <v>A+</v>
      </c>
      <c r="L21" s="1" t="str">
        <f t="shared" si="4"/>
        <v>Normal</v>
      </c>
      <c r="M21" s="1" t="str">
        <f t="shared" si="5"/>
        <v>Eligible</v>
      </c>
      <c r="N21" s="1" t="str">
        <f t="shared" si="6"/>
        <v>Top Performer</v>
      </c>
      <c r="O21" s="11">
        <v>45000</v>
      </c>
      <c r="P21" s="26">
        <f t="shared" si="7"/>
        <v>0.25</v>
      </c>
      <c r="Q21" s="11">
        <f t="shared" si="8"/>
        <v>11250</v>
      </c>
      <c r="R21" s="11">
        <f t="shared" si="9"/>
        <v>33750</v>
      </c>
      <c r="S21" s="5">
        <v>38688</v>
      </c>
      <c r="T21" s="1">
        <f t="shared" ca="1" si="10"/>
        <v>20</v>
      </c>
      <c r="U21" s="20">
        <v>45455</v>
      </c>
      <c r="V21" s="1" t="str">
        <f t="shared" ca="1" si="11"/>
        <v>746 Days</v>
      </c>
    </row>
    <row r="22" spans="1:22" x14ac:dyDescent="0.25">
      <c r="A22" s="1" t="s">
        <v>53</v>
      </c>
      <c r="B22" s="1" t="s">
        <v>54</v>
      </c>
      <c r="C22" s="1" t="str">
        <f t="shared" si="0"/>
        <v>Ronak</v>
      </c>
      <c r="D22" s="1" t="s">
        <v>12</v>
      </c>
      <c r="E22" s="1" t="s">
        <v>13</v>
      </c>
      <c r="F22" s="1">
        <v>72</v>
      </c>
      <c r="G22" s="1">
        <v>75</v>
      </c>
      <c r="H22" s="1">
        <v>78</v>
      </c>
      <c r="I22" s="1">
        <f t="shared" si="1"/>
        <v>225</v>
      </c>
      <c r="J22" s="1">
        <f t="shared" si="2"/>
        <v>75</v>
      </c>
      <c r="K22" s="1" t="str">
        <f t="shared" si="3"/>
        <v>B</v>
      </c>
      <c r="L22" s="1" t="str">
        <f t="shared" si="4"/>
        <v>Normal</v>
      </c>
      <c r="M22" s="1" t="str">
        <f t="shared" si="5"/>
        <v>Not Eligible</v>
      </c>
      <c r="N22" s="1" t="str">
        <f t="shared" si="6"/>
        <v>Normal</v>
      </c>
      <c r="O22" s="11">
        <v>50000</v>
      </c>
      <c r="P22" s="26">
        <f t="shared" si="7"/>
        <v>0.1</v>
      </c>
      <c r="Q22" s="11">
        <f t="shared" si="8"/>
        <v>5000</v>
      </c>
      <c r="R22" s="11">
        <f t="shared" si="9"/>
        <v>45000</v>
      </c>
      <c r="S22" s="5">
        <v>38441</v>
      </c>
      <c r="T22" s="1">
        <f t="shared" ca="1" si="10"/>
        <v>21</v>
      </c>
      <c r="U22" s="20">
        <v>45465</v>
      </c>
      <c r="V22" s="1" t="str">
        <f t="shared" ca="1" si="11"/>
        <v>736 Days</v>
      </c>
    </row>
    <row r="24" spans="1:22" ht="15" customHeight="1" x14ac:dyDescent="0.25">
      <c r="B24" s="58" t="s">
        <v>139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</row>
    <row r="25" spans="1:22" ht="15" customHeight="1" x14ac:dyDescent="0.25"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</row>
    <row r="26" spans="1:22" x14ac:dyDescent="0.25">
      <c r="Q26" s="17"/>
      <c r="U26" s="25"/>
      <c r="V26"/>
    </row>
    <row r="27" spans="1:22" ht="15.75" thickBot="1" x14ac:dyDescent="0.3">
      <c r="B27" s="2" t="s">
        <v>62</v>
      </c>
      <c r="C27" s="2" t="s">
        <v>63</v>
      </c>
      <c r="H27"/>
      <c r="Q27" s="17"/>
    </row>
    <row r="28" spans="1:22" ht="15.75" thickBot="1" x14ac:dyDescent="0.3">
      <c r="B28" s="3" t="s">
        <v>64</v>
      </c>
      <c r="C28" s="3" t="str">
        <f>INDEX(B3:B22,MATCH(LARGE(J3:J22,1),J3:J22,0))</f>
        <v>Tej Patel</v>
      </c>
      <c r="E28" s="56" t="s">
        <v>76</v>
      </c>
      <c r="F28" s="56"/>
      <c r="H28" s="2" t="s">
        <v>78</v>
      </c>
      <c r="K28" s="2" t="s">
        <v>73</v>
      </c>
      <c r="L28" s="2"/>
      <c r="N28" s="56" t="s">
        <v>183</v>
      </c>
      <c r="O28" s="56"/>
      <c r="P28" s="56"/>
    </row>
    <row r="29" spans="1:22" x14ac:dyDescent="0.25">
      <c r="B29" s="3" t="s">
        <v>65</v>
      </c>
      <c r="C29" s="3" t="str">
        <f>INDEX(B3:B22,MATCH(LARGE(J3:J22,2),J3:J22,0))</f>
        <v>Diya Patel</v>
      </c>
      <c r="E29" s="63">
        <f>COUNTA('Students Data'!A3:A21)</f>
        <v>19</v>
      </c>
      <c r="F29" s="63"/>
      <c r="H29" s="8">
        <f>MAX('Students Data'!J3:J22)</f>
        <v>97</v>
      </c>
      <c r="J29" s="61">
        <f>COUNTIFS(F3:F22,"&gt;60")</f>
        <v>16</v>
      </c>
      <c r="K29" s="61"/>
      <c r="L29" s="61"/>
      <c r="N29" s="62">
        <f>SUM('Students Data'!R3:R22)</f>
        <v>812500</v>
      </c>
      <c r="O29" s="62"/>
      <c r="P29" s="62"/>
      <c r="Q29" s="17"/>
    </row>
    <row r="30" spans="1:22" x14ac:dyDescent="0.25">
      <c r="B30" s="4" t="s">
        <v>66</v>
      </c>
      <c r="C30" s="3" t="str">
        <f>INDEX(B3:B22,MATCH(LARGE(J3:J22,3),J3:J22,0))</f>
        <v>Vandita Patel</v>
      </c>
      <c r="Q30" s="17"/>
    </row>
    <row r="31" spans="1:22" ht="15.75" thickBot="1" x14ac:dyDescent="0.3">
      <c r="B31" s="4" t="s">
        <v>71</v>
      </c>
      <c r="C31" s="3" t="str">
        <f>INDEX(B3:B22,MATCH(LARGE(J3:J22,4),J3:J22,0))</f>
        <v>Dev Patel</v>
      </c>
      <c r="E31" s="64" t="s">
        <v>77</v>
      </c>
      <c r="F31" s="64"/>
      <c r="H31" s="2" t="s">
        <v>79</v>
      </c>
      <c r="J31" s="56" t="s">
        <v>75</v>
      </c>
      <c r="K31" s="56"/>
      <c r="L31" s="56"/>
      <c r="N31" s="2" t="s">
        <v>184</v>
      </c>
      <c r="O31"/>
      <c r="P31" s="34" t="s">
        <v>185</v>
      </c>
      <c r="Q31" s="55"/>
      <c r="R31" s="55"/>
    </row>
    <row r="32" spans="1:22" x14ac:dyDescent="0.25">
      <c r="B32" s="4" t="s">
        <v>67</v>
      </c>
      <c r="C32" s="3" t="str">
        <f>INDEX(B3:B22,MATCH(LARGE(J3:J22,5),J3:J22,0))</f>
        <v>Mansi Patel</v>
      </c>
      <c r="E32" s="65">
        <f>AVERAGE('Students Data'!J3:J22)</f>
        <v>78.38333333333334</v>
      </c>
      <c r="F32" s="65"/>
      <c r="H32" s="9">
        <f>MIN('Students Data'!J3:J22)</f>
        <v>47.666666666666671</v>
      </c>
      <c r="J32" s="59">
        <f>COUNTIF('Students Data'!J3:J22,"&gt;=80")</f>
        <v>11</v>
      </c>
      <c r="K32" s="59"/>
      <c r="L32" s="59"/>
      <c r="N32" s="3">
        <f>COUNTIF('Students Data'!E3:E22,"AI")</f>
        <v>9</v>
      </c>
      <c r="O32"/>
      <c r="P32" s="3">
        <f>COUNTIF('Students Data'!E3:E22,"DS")</f>
        <v>6</v>
      </c>
      <c r="R32" s="5"/>
      <c r="S32" s="1"/>
      <c r="T32" s="20"/>
      <c r="U32" s="1"/>
      <c r="V32"/>
    </row>
    <row r="33" spans="5:16" ht="15.75" thickBot="1" x14ac:dyDescent="0.3">
      <c r="O33" s="35" t="s">
        <v>186</v>
      </c>
    </row>
    <row r="34" spans="5:16" ht="15.75" thickBot="1" x14ac:dyDescent="0.3">
      <c r="E34" s="56" t="s">
        <v>181</v>
      </c>
      <c r="F34" s="56"/>
      <c r="H34" s="56" t="s">
        <v>182</v>
      </c>
      <c r="I34" s="56"/>
      <c r="K34" s="56" t="s">
        <v>74</v>
      </c>
      <c r="L34" s="56"/>
      <c r="M34" s="56"/>
      <c r="O34" s="3">
        <f>COUNTIF('Students Data'!E3:E22,"ML")</f>
        <v>5</v>
      </c>
    </row>
    <row r="35" spans="5:16" x14ac:dyDescent="0.25">
      <c r="E35" s="59" cm="1">
        <f t="array" ref="E35">SUM(COUNTIF(K24:K38,{"A+","A","B+","B","C+","C"}))</f>
        <v>0</v>
      </c>
      <c r="F35" s="59"/>
      <c r="H35" s="60">
        <f>COUNTIF(K3:K22,"Fail")</f>
        <v>3</v>
      </c>
      <c r="I35" s="60"/>
      <c r="K35" s="61">
        <f>AVERAGEIFS(J$3:J$22,E$3:E$22,"AI")</f>
        <v>79.407407407407419</v>
      </c>
      <c r="L35" s="61"/>
      <c r="M35" s="61"/>
    </row>
    <row r="37" spans="5:16" ht="15.75" thickBot="1" x14ac:dyDescent="0.3">
      <c r="N37" s="56" t="s">
        <v>187</v>
      </c>
      <c r="O37" s="56"/>
      <c r="P37" s="56"/>
    </row>
    <row r="38" spans="5:16" x14ac:dyDescent="0.25">
      <c r="G38"/>
      <c r="H38"/>
      <c r="N38" s="57">
        <f>SUMIFS('Students Data'!R3:R22,'Students Data'!E3:E22,"AI")</f>
        <v>385000</v>
      </c>
      <c r="O38" s="57"/>
      <c r="P38" s="57"/>
    </row>
  </sheetData>
  <mergeCells count="19">
    <mergeCell ref="K35:M35"/>
    <mergeCell ref="E31:F31"/>
    <mergeCell ref="E32:F32"/>
    <mergeCell ref="Q31:R31"/>
    <mergeCell ref="N37:P37"/>
    <mergeCell ref="N38:P38"/>
    <mergeCell ref="B24:T25"/>
    <mergeCell ref="E34:F34"/>
    <mergeCell ref="E35:F35"/>
    <mergeCell ref="H34:I34"/>
    <mergeCell ref="H35:I35"/>
    <mergeCell ref="E28:F28"/>
    <mergeCell ref="J29:L29"/>
    <mergeCell ref="N29:P29"/>
    <mergeCell ref="E29:F29"/>
    <mergeCell ref="N28:P28"/>
    <mergeCell ref="K34:M34"/>
    <mergeCell ref="J31:L31"/>
    <mergeCell ref="J32:L32"/>
  </mergeCells>
  <conditionalFormatting sqref="J3:J22">
    <cfRule type="cellIs" dxfId="25" priority="1" operator="between">
      <formula>58</formula>
      <formula>0</formula>
    </cfRule>
    <cfRule type="cellIs" dxfId="24" priority="2" operator="between">
      <formula>69</formula>
      <formula>60</formula>
    </cfRule>
    <cfRule type="cellIs" dxfId="23" priority="3" operator="between">
      <formula>89</formula>
      <formula>80</formula>
    </cfRule>
    <cfRule type="cellIs" dxfId="22" priority="6" operator="between">
      <formula>69</formula>
      <formula>60</formula>
    </cfRule>
    <cfRule type="cellIs" dxfId="21" priority="7" operator="between">
      <formula>79</formula>
      <formula>70</formula>
    </cfRule>
    <cfRule type="cellIs" dxfId="20" priority="8" operator="between">
      <formula>89</formula>
      <formula>80</formula>
    </cfRule>
    <cfRule type="cellIs" dxfId="19" priority="9" operator="greaterThan">
      <formula>90</formula>
    </cfRule>
    <cfRule type="cellIs" dxfId="18" priority="10" operator="greaterThan">
      <formula>90</formula>
    </cfRule>
    <cfRule type="cellIs" dxfId="17" priority="11" operator="greaterThan">
      <formula>90</formula>
    </cfRule>
  </conditionalFormatting>
  <conditionalFormatting sqref="J21">
    <cfRule type="cellIs" dxfId="16" priority="5" operator="equal">
      <formula>90</formula>
    </cfRule>
  </conditionalFormatting>
  <conditionalFormatting sqref="K3:K22">
    <cfRule type="cellIs" dxfId="15" priority="15" operator="equal">
      <formula>"A"</formula>
    </cfRule>
    <cfRule type="cellIs" dxfId="14" priority="16" operator="equal">
      <formula>"A+"</formula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:K22">
    <cfRule type="cellIs" dxfId="13" priority="13" operator="between">
      <formula>"B"</formula>
      <formula>"C"</formula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:K14">
    <cfRule type="cellIs" dxfId="12" priority="12" operator="equal">
      <formula>"Fail"</formula>
    </cfRule>
  </conditionalFormatting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D032-5B3C-49FF-9CBE-7002C8381111}">
  <dimension ref="A1:AF66"/>
  <sheetViews>
    <sheetView topLeftCell="K2" zoomScaleNormal="100" workbookViewId="0">
      <selection activeCell="AC17" sqref="AC17"/>
    </sheetView>
  </sheetViews>
  <sheetFormatPr defaultRowHeight="15" x14ac:dyDescent="0.25"/>
  <cols>
    <col min="1" max="1" width="13.5703125" customWidth="1"/>
    <col min="2" max="2" width="11.85546875" style="1" customWidth="1"/>
    <col min="3" max="3" width="13.5703125" style="28" bestFit="1" customWidth="1"/>
    <col min="4" max="4" width="17.42578125" bestFit="1" customWidth="1"/>
    <col min="5" max="5" width="16.42578125" bestFit="1" customWidth="1"/>
    <col min="6" max="6" width="11.140625" style="1" bestFit="1" customWidth="1"/>
    <col min="7" max="7" width="12.7109375" style="1" customWidth="1"/>
    <col min="8" max="8" width="14.5703125" style="17" customWidth="1"/>
    <col min="9" max="9" width="13.85546875" customWidth="1"/>
    <col min="10" max="10" width="12.7109375" style="10" customWidth="1"/>
    <col min="11" max="11" width="12.140625" style="1" customWidth="1"/>
    <col min="12" max="12" width="17.140625" style="32" customWidth="1"/>
    <col min="20" max="20" width="13.5703125" bestFit="1" customWidth="1"/>
    <col min="21" max="21" width="17.42578125" bestFit="1" customWidth="1"/>
    <col min="22" max="22" width="16.42578125" bestFit="1" customWidth="1"/>
    <col min="27" max="27" width="13.140625" bestFit="1" customWidth="1"/>
    <col min="28" max="28" width="17.28515625" bestFit="1" customWidth="1"/>
    <col min="29" max="29" width="16.42578125" bestFit="1" customWidth="1"/>
  </cols>
  <sheetData>
    <row r="1" spans="1:32" ht="15" customHeight="1" x14ac:dyDescent="0.25">
      <c r="A1" s="67" t="s">
        <v>80</v>
      </c>
      <c r="B1" s="67" t="s">
        <v>81</v>
      </c>
      <c r="C1" s="73" t="s">
        <v>82</v>
      </c>
      <c r="D1" s="74" t="s">
        <v>83</v>
      </c>
      <c r="E1" s="67" t="s">
        <v>84</v>
      </c>
      <c r="F1" s="67" t="s">
        <v>85</v>
      </c>
      <c r="G1" s="67" t="s">
        <v>86</v>
      </c>
      <c r="H1" s="72" t="s">
        <v>87</v>
      </c>
      <c r="I1" s="67" t="s">
        <v>134</v>
      </c>
      <c r="J1" s="66" t="s">
        <v>132</v>
      </c>
      <c r="K1" s="67" t="s">
        <v>131</v>
      </c>
      <c r="L1" s="68" t="s">
        <v>133</v>
      </c>
      <c r="N1" s="69" t="s">
        <v>139</v>
      </c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</row>
    <row r="2" spans="1:32" ht="15" customHeight="1" x14ac:dyDescent="0.25">
      <c r="A2" s="67"/>
      <c r="B2" s="67"/>
      <c r="C2" s="73"/>
      <c r="D2" s="74"/>
      <c r="E2" s="67"/>
      <c r="F2" s="67"/>
      <c r="G2" s="67"/>
      <c r="H2" s="72"/>
      <c r="I2" s="67"/>
      <c r="J2" s="66"/>
      <c r="K2" s="67"/>
      <c r="L2" s="68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</row>
    <row r="3" spans="1:32" ht="15" customHeight="1" x14ac:dyDescent="0.25">
      <c r="A3" s="1" t="s">
        <v>88</v>
      </c>
      <c r="B3" s="1" t="s">
        <v>108</v>
      </c>
      <c r="C3" s="28" t="s">
        <v>113</v>
      </c>
      <c r="D3" s="1" t="s">
        <v>11</v>
      </c>
      <c r="E3" s="1" t="s">
        <v>116</v>
      </c>
      <c r="F3" s="11">
        <v>55000</v>
      </c>
      <c r="G3" s="1">
        <v>2</v>
      </c>
      <c r="H3" s="17">
        <f>F3*G3</f>
        <v>110000</v>
      </c>
      <c r="I3" s="1" t="str">
        <f>IF(H3&gt;=50000,"10%","5%")</f>
        <v>10%</v>
      </c>
      <c r="J3" s="10">
        <f>ROUND(H3,-2)</f>
        <v>110000</v>
      </c>
      <c r="K3" s="1">
        <f>CEILING(H3,1000)</f>
        <v>110000</v>
      </c>
      <c r="L3" s="32">
        <f>FLOOR(H3,1000)</f>
        <v>110000</v>
      </c>
    </row>
    <row r="4" spans="1:32" ht="15.75" thickBot="1" x14ac:dyDescent="0.3">
      <c r="A4" s="1" t="s">
        <v>89</v>
      </c>
      <c r="B4" s="1" t="s">
        <v>109</v>
      </c>
      <c r="C4" s="28" t="s">
        <v>180</v>
      </c>
      <c r="D4" s="1" t="s">
        <v>15</v>
      </c>
      <c r="E4" s="1" t="s">
        <v>116</v>
      </c>
      <c r="F4" s="11">
        <v>800</v>
      </c>
      <c r="G4" s="1">
        <v>15</v>
      </c>
      <c r="H4" s="17">
        <f t="shared" ref="H4:H22" si="0">F4*G4</f>
        <v>12000</v>
      </c>
      <c r="I4" s="1" t="str">
        <f t="shared" ref="I4:I22" si="1">IF(H4&gt;=50000,"10%","5%")</f>
        <v>5%</v>
      </c>
      <c r="J4" s="10">
        <f t="shared" ref="J4:J22" si="2">ROUND(H4,-2)</f>
        <v>12000</v>
      </c>
      <c r="K4" s="1">
        <f t="shared" ref="K4:K22" si="3">CEILING(H4,1000)</f>
        <v>12000</v>
      </c>
      <c r="L4" s="32">
        <f t="shared" ref="L4:L22" si="4">FLOOR(H4,1000)</f>
        <v>12000</v>
      </c>
      <c r="O4" s="56" t="s">
        <v>126</v>
      </c>
      <c r="P4" s="56"/>
      <c r="Q4" s="56"/>
      <c r="R4" s="56"/>
      <c r="T4" s="82" t="s">
        <v>188</v>
      </c>
      <c r="U4" t="s">
        <v>190</v>
      </c>
      <c r="V4" t="s">
        <v>191</v>
      </c>
    </row>
    <row r="5" spans="1:32" x14ac:dyDescent="0.25">
      <c r="A5" s="1" t="s">
        <v>90</v>
      </c>
      <c r="B5" s="1" t="s">
        <v>110</v>
      </c>
      <c r="C5" s="28" t="s">
        <v>114</v>
      </c>
      <c r="D5" s="1" t="s">
        <v>18</v>
      </c>
      <c r="E5" s="1" t="s">
        <v>117</v>
      </c>
      <c r="F5" s="11">
        <v>1500</v>
      </c>
      <c r="G5" s="1">
        <v>10</v>
      </c>
      <c r="H5" s="17">
        <f t="shared" si="0"/>
        <v>15000</v>
      </c>
      <c r="I5" s="1" t="str">
        <f t="shared" si="1"/>
        <v>5%</v>
      </c>
      <c r="J5" s="10">
        <f t="shared" si="2"/>
        <v>15000</v>
      </c>
      <c r="K5" s="1">
        <f t="shared" si="3"/>
        <v>15000</v>
      </c>
      <c r="L5" s="32">
        <f t="shared" si="4"/>
        <v>15000</v>
      </c>
      <c r="O5" s="63">
        <f>SUMIFS(H:H,C:C,"North",B:B,"Laptop")</f>
        <v>110000</v>
      </c>
      <c r="P5" s="63"/>
      <c r="Q5" s="63"/>
      <c r="R5" s="63"/>
      <c r="T5" s="83" t="s">
        <v>110</v>
      </c>
      <c r="U5" s="84">
        <v>233900</v>
      </c>
      <c r="V5" s="84">
        <v>28800</v>
      </c>
    </row>
    <row r="6" spans="1:32" x14ac:dyDescent="0.25">
      <c r="A6" s="1" t="s">
        <v>91</v>
      </c>
      <c r="B6" s="1" t="s">
        <v>111</v>
      </c>
      <c r="C6" s="28" t="s">
        <v>115</v>
      </c>
      <c r="D6" s="1" t="s">
        <v>20</v>
      </c>
      <c r="E6" s="1" t="s">
        <v>117</v>
      </c>
      <c r="F6" s="11">
        <v>12000</v>
      </c>
      <c r="G6" s="1">
        <v>3</v>
      </c>
      <c r="H6" s="17">
        <f t="shared" si="0"/>
        <v>36000</v>
      </c>
      <c r="I6" s="1" t="str">
        <f t="shared" si="1"/>
        <v>5%</v>
      </c>
      <c r="J6" s="10">
        <f t="shared" si="2"/>
        <v>36000</v>
      </c>
      <c r="K6" s="1">
        <f t="shared" si="3"/>
        <v>36000</v>
      </c>
      <c r="L6" s="32">
        <f t="shared" si="4"/>
        <v>36000</v>
      </c>
      <c r="T6" s="83" t="s">
        <v>108</v>
      </c>
      <c r="U6" s="84">
        <v>172350</v>
      </c>
      <c r="V6" s="84">
        <v>116600</v>
      </c>
    </row>
    <row r="7" spans="1:32" ht="15.75" thickBot="1" x14ac:dyDescent="0.3">
      <c r="A7" s="1" t="s">
        <v>92</v>
      </c>
      <c r="B7" s="1" t="s">
        <v>112</v>
      </c>
      <c r="C7" s="28" t="s">
        <v>113</v>
      </c>
      <c r="D7" s="1" t="s">
        <v>23</v>
      </c>
      <c r="E7" s="1" t="s">
        <v>118</v>
      </c>
      <c r="F7" s="11">
        <v>18000</v>
      </c>
      <c r="G7" s="1">
        <v>2</v>
      </c>
      <c r="H7" s="17">
        <f t="shared" si="0"/>
        <v>36000</v>
      </c>
      <c r="I7" s="1" t="str">
        <f t="shared" si="1"/>
        <v>5%</v>
      </c>
      <c r="J7" s="10">
        <f t="shared" si="2"/>
        <v>36000</v>
      </c>
      <c r="K7" s="1">
        <f t="shared" si="3"/>
        <v>36000</v>
      </c>
      <c r="L7" s="32">
        <f t="shared" si="4"/>
        <v>36000</v>
      </c>
      <c r="O7" s="56" t="s">
        <v>127</v>
      </c>
      <c r="P7" s="56"/>
      <c r="Q7" s="56"/>
      <c r="R7" s="56"/>
      <c r="T7" s="83" t="s">
        <v>111</v>
      </c>
      <c r="U7" s="84">
        <v>225500</v>
      </c>
      <c r="V7" s="84">
        <v>59500</v>
      </c>
    </row>
    <row r="8" spans="1:32" x14ac:dyDescent="0.25">
      <c r="A8" s="1" t="s">
        <v>93</v>
      </c>
      <c r="B8" s="1" t="s">
        <v>108</v>
      </c>
      <c r="C8" s="28" t="s">
        <v>180</v>
      </c>
      <c r="D8" s="1" t="s">
        <v>26</v>
      </c>
      <c r="E8" s="1" t="s">
        <v>118</v>
      </c>
      <c r="F8" s="11">
        <v>60000</v>
      </c>
      <c r="G8" s="1">
        <v>1</v>
      </c>
      <c r="H8" s="17">
        <f t="shared" si="0"/>
        <v>60000</v>
      </c>
      <c r="I8" s="1" t="str">
        <f t="shared" si="1"/>
        <v>10%</v>
      </c>
      <c r="J8" s="10">
        <f t="shared" si="2"/>
        <v>60000</v>
      </c>
      <c r="K8" s="1">
        <f t="shared" si="3"/>
        <v>60000</v>
      </c>
      <c r="L8" s="32">
        <f t="shared" si="4"/>
        <v>60000</v>
      </c>
      <c r="O8" s="70">
        <f>VLOOKUP("P005",A:H,6,FALSE)</f>
        <v>18000</v>
      </c>
      <c r="P8" s="70"/>
      <c r="Q8" s="70"/>
      <c r="R8" s="70"/>
      <c r="T8" s="83" t="s">
        <v>109</v>
      </c>
      <c r="U8" s="84">
        <v>78600</v>
      </c>
      <c r="V8" s="84">
        <v>4950</v>
      </c>
    </row>
    <row r="9" spans="1:32" x14ac:dyDescent="0.25">
      <c r="A9" s="1" t="s">
        <v>94</v>
      </c>
      <c r="B9" s="1" t="s">
        <v>109</v>
      </c>
      <c r="C9" s="28" t="s">
        <v>114</v>
      </c>
      <c r="D9" s="1" t="s">
        <v>28</v>
      </c>
      <c r="E9" s="1" t="s">
        <v>119</v>
      </c>
      <c r="F9" s="11">
        <v>750</v>
      </c>
      <c r="G9" s="1">
        <v>20</v>
      </c>
      <c r="H9" s="17">
        <f t="shared" si="0"/>
        <v>15000</v>
      </c>
      <c r="I9" s="1" t="str">
        <f t="shared" si="1"/>
        <v>5%</v>
      </c>
      <c r="J9" s="10">
        <f t="shared" si="2"/>
        <v>15000</v>
      </c>
      <c r="K9" s="1">
        <f t="shared" si="3"/>
        <v>15000</v>
      </c>
      <c r="L9" s="32">
        <f t="shared" si="4"/>
        <v>15000</v>
      </c>
      <c r="T9" s="83" t="s">
        <v>112</v>
      </c>
      <c r="U9" s="84">
        <v>456000</v>
      </c>
      <c r="V9" s="84">
        <v>198000</v>
      </c>
    </row>
    <row r="10" spans="1:32" ht="15.75" thickBot="1" x14ac:dyDescent="0.3">
      <c r="A10" s="1" t="s">
        <v>95</v>
      </c>
      <c r="B10" s="1" t="s">
        <v>110</v>
      </c>
      <c r="C10" s="28" t="s">
        <v>115</v>
      </c>
      <c r="D10" s="1" t="s">
        <v>30</v>
      </c>
      <c r="E10" s="1" t="s">
        <v>119</v>
      </c>
      <c r="F10" s="11">
        <v>1800</v>
      </c>
      <c r="G10" s="1">
        <v>8</v>
      </c>
      <c r="H10" s="17">
        <f t="shared" si="0"/>
        <v>14400</v>
      </c>
      <c r="I10" s="1" t="str">
        <f t="shared" si="1"/>
        <v>5%</v>
      </c>
      <c r="J10" s="10">
        <f t="shared" si="2"/>
        <v>14400</v>
      </c>
      <c r="K10" s="1">
        <f t="shared" si="3"/>
        <v>15000</v>
      </c>
      <c r="L10" s="32">
        <f t="shared" si="4"/>
        <v>14000</v>
      </c>
      <c r="O10" s="56" t="s">
        <v>130</v>
      </c>
      <c r="P10" s="56"/>
      <c r="Q10" s="56"/>
      <c r="R10" s="56"/>
      <c r="T10" s="83" t="s">
        <v>189</v>
      </c>
      <c r="U10" s="84">
        <v>1166350</v>
      </c>
      <c r="V10" s="84">
        <v>407850</v>
      </c>
    </row>
    <row r="11" spans="1:32" x14ac:dyDescent="0.25">
      <c r="A11" s="1" t="s">
        <v>96</v>
      </c>
      <c r="B11" s="1" t="s">
        <v>111</v>
      </c>
      <c r="C11" s="28" t="s">
        <v>113</v>
      </c>
      <c r="D11" s="1" t="s">
        <v>32</v>
      </c>
      <c r="E11" s="1" t="s">
        <v>120</v>
      </c>
      <c r="F11" s="11">
        <v>13000</v>
      </c>
      <c r="G11" s="1">
        <v>4</v>
      </c>
      <c r="H11" s="17">
        <f t="shared" si="0"/>
        <v>52000</v>
      </c>
      <c r="I11" s="1" t="str">
        <f t="shared" si="1"/>
        <v>10%</v>
      </c>
      <c r="J11" s="10">
        <f t="shared" si="2"/>
        <v>52000</v>
      </c>
      <c r="K11" s="1">
        <f t="shared" si="3"/>
        <v>52000</v>
      </c>
      <c r="L11" s="32">
        <f t="shared" si="4"/>
        <v>52000</v>
      </c>
      <c r="O11" s="63">
        <f ca="1">SUM(OFFSET(L3,0,0,5,1))</f>
        <v>209000</v>
      </c>
      <c r="P11" s="63"/>
      <c r="Q11" s="63"/>
      <c r="R11" s="63"/>
    </row>
    <row r="12" spans="1:32" x14ac:dyDescent="0.25">
      <c r="A12" s="1" t="s">
        <v>97</v>
      </c>
      <c r="B12" s="1" t="s">
        <v>112</v>
      </c>
      <c r="C12" s="28" t="s">
        <v>180</v>
      </c>
      <c r="D12" s="1" t="s">
        <v>34</v>
      </c>
      <c r="E12" s="1" t="s">
        <v>120</v>
      </c>
      <c r="F12" s="11">
        <v>60000</v>
      </c>
      <c r="G12" s="1">
        <v>3</v>
      </c>
      <c r="H12" s="17">
        <f t="shared" si="0"/>
        <v>180000</v>
      </c>
      <c r="I12" s="1" t="str">
        <f t="shared" si="1"/>
        <v>10%</v>
      </c>
      <c r="J12" s="10">
        <f t="shared" si="2"/>
        <v>180000</v>
      </c>
      <c r="K12" s="1">
        <f t="shared" si="3"/>
        <v>180000</v>
      </c>
      <c r="L12" s="32">
        <f t="shared" si="4"/>
        <v>180000</v>
      </c>
    </row>
    <row r="13" spans="1:32" ht="15.75" thickBot="1" x14ac:dyDescent="0.3">
      <c r="A13" s="1" t="s">
        <v>98</v>
      </c>
      <c r="B13" s="1" t="s">
        <v>108</v>
      </c>
      <c r="C13" s="28" t="s">
        <v>114</v>
      </c>
      <c r="D13" s="1" t="s">
        <v>36</v>
      </c>
      <c r="E13" s="1" t="s">
        <v>121</v>
      </c>
      <c r="F13" s="11">
        <v>750</v>
      </c>
      <c r="G13" s="1">
        <v>2</v>
      </c>
      <c r="H13" s="17">
        <f t="shared" si="0"/>
        <v>1500</v>
      </c>
      <c r="I13" s="1" t="str">
        <f t="shared" si="1"/>
        <v>5%</v>
      </c>
      <c r="J13" s="10">
        <f t="shared" si="2"/>
        <v>1500</v>
      </c>
      <c r="K13" s="1">
        <f t="shared" si="3"/>
        <v>2000</v>
      </c>
      <c r="L13" s="32">
        <f t="shared" si="4"/>
        <v>1000</v>
      </c>
      <c r="O13" s="56" t="s">
        <v>138</v>
      </c>
      <c r="P13" s="56"/>
      <c r="Q13" s="56"/>
      <c r="R13" s="56"/>
    </row>
    <row r="14" spans="1:32" x14ac:dyDescent="0.25">
      <c r="A14" s="1" t="s">
        <v>99</v>
      </c>
      <c r="B14" s="1" t="s">
        <v>109</v>
      </c>
      <c r="C14" s="28" t="s">
        <v>115</v>
      </c>
      <c r="D14" s="1" t="s">
        <v>38</v>
      </c>
      <c r="E14" s="1" t="s">
        <v>121</v>
      </c>
      <c r="F14" s="11">
        <v>1800</v>
      </c>
      <c r="G14" s="1">
        <v>18</v>
      </c>
      <c r="H14" s="17">
        <f t="shared" si="0"/>
        <v>32400</v>
      </c>
      <c r="I14" s="1" t="str">
        <f t="shared" si="1"/>
        <v>5%</v>
      </c>
      <c r="J14" s="10">
        <f t="shared" si="2"/>
        <v>32400</v>
      </c>
      <c r="K14" s="1">
        <f t="shared" si="3"/>
        <v>33000</v>
      </c>
      <c r="L14" s="32">
        <f t="shared" si="4"/>
        <v>32000</v>
      </c>
      <c r="O14" s="71">
        <f>INDEX(H3:H22,MATCH("Vandita Patel",D3:D22,0))</f>
        <v>15000</v>
      </c>
      <c r="P14" s="71"/>
      <c r="Q14" s="71"/>
      <c r="R14" s="71"/>
    </row>
    <row r="15" spans="1:32" x14ac:dyDescent="0.25">
      <c r="A15" s="1" t="s">
        <v>100</v>
      </c>
      <c r="B15" s="1" t="s">
        <v>110</v>
      </c>
      <c r="C15" s="28" t="s">
        <v>113</v>
      </c>
      <c r="D15" s="1" t="s">
        <v>40</v>
      </c>
      <c r="E15" s="1" t="s">
        <v>124</v>
      </c>
      <c r="F15" s="11">
        <v>13000</v>
      </c>
      <c r="G15" s="1">
        <v>9</v>
      </c>
      <c r="H15" s="17">
        <f t="shared" si="0"/>
        <v>117000</v>
      </c>
      <c r="I15" s="1" t="str">
        <f t="shared" si="1"/>
        <v>10%</v>
      </c>
      <c r="J15" s="10">
        <f t="shared" si="2"/>
        <v>117000</v>
      </c>
      <c r="K15" s="1">
        <f t="shared" si="3"/>
        <v>117000</v>
      </c>
      <c r="L15" s="32">
        <f t="shared" si="4"/>
        <v>117000</v>
      </c>
    </row>
    <row r="16" spans="1:32" ht="15.75" thickBot="1" x14ac:dyDescent="0.3">
      <c r="A16" s="1" t="s">
        <v>101</v>
      </c>
      <c r="B16" s="1" t="s">
        <v>111</v>
      </c>
      <c r="C16" s="28" t="s">
        <v>180</v>
      </c>
      <c r="D16" s="1" t="s">
        <v>42</v>
      </c>
      <c r="E16" s="1" t="s">
        <v>124</v>
      </c>
      <c r="F16" s="11">
        <v>17000</v>
      </c>
      <c r="G16" s="1">
        <v>5</v>
      </c>
      <c r="H16" s="17">
        <f t="shared" si="0"/>
        <v>85000</v>
      </c>
      <c r="I16" s="1" t="str">
        <f t="shared" si="1"/>
        <v>10%</v>
      </c>
      <c r="J16" s="10">
        <f t="shared" si="2"/>
        <v>85000</v>
      </c>
      <c r="K16" s="1">
        <f t="shared" si="3"/>
        <v>85000</v>
      </c>
      <c r="L16" s="32">
        <f t="shared" si="4"/>
        <v>85000</v>
      </c>
      <c r="O16" s="56" t="s">
        <v>137</v>
      </c>
      <c r="P16" s="56"/>
      <c r="Q16" s="56"/>
      <c r="R16" s="56"/>
    </row>
    <row r="17" spans="1:18" x14ac:dyDescent="0.25">
      <c r="A17" s="1" t="s">
        <v>102</v>
      </c>
      <c r="B17" s="1" t="s">
        <v>112</v>
      </c>
      <c r="C17" s="28" t="s">
        <v>114</v>
      </c>
      <c r="D17" s="1" t="s">
        <v>44</v>
      </c>
      <c r="E17" s="1" t="s">
        <v>123</v>
      </c>
      <c r="F17" s="11">
        <v>58000</v>
      </c>
      <c r="G17" s="1">
        <v>2</v>
      </c>
      <c r="H17" s="17">
        <f t="shared" si="0"/>
        <v>116000</v>
      </c>
      <c r="I17" s="1" t="str">
        <f t="shared" si="1"/>
        <v>10%</v>
      </c>
      <c r="J17" s="10">
        <f t="shared" si="2"/>
        <v>116000</v>
      </c>
      <c r="K17" s="1">
        <f t="shared" si="3"/>
        <v>116000</v>
      </c>
      <c r="L17" s="32">
        <f t="shared" si="4"/>
        <v>116000</v>
      </c>
      <c r="O17" s="63">
        <f>VLOOKUP("P005",A3:H22,6,FALSE)</f>
        <v>18000</v>
      </c>
      <c r="P17" s="63"/>
      <c r="Q17" s="63"/>
      <c r="R17" s="63"/>
    </row>
    <row r="18" spans="1:18" x14ac:dyDescent="0.25">
      <c r="A18" s="1" t="s">
        <v>103</v>
      </c>
      <c r="B18" s="1" t="s">
        <v>108</v>
      </c>
      <c r="C18" s="28" t="s">
        <v>115</v>
      </c>
      <c r="D18" s="1" t="s">
        <v>46</v>
      </c>
      <c r="E18" s="1" t="s">
        <v>123</v>
      </c>
      <c r="F18" s="11">
        <v>850</v>
      </c>
      <c r="G18" s="1">
        <v>1</v>
      </c>
      <c r="H18" s="17">
        <f t="shared" si="0"/>
        <v>850</v>
      </c>
      <c r="I18" s="1" t="str">
        <f t="shared" si="1"/>
        <v>5%</v>
      </c>
      <c r="J18" s="10">
        <f t="shared" si="2"/>
        <v>900</v>
      </c>
      <c r="K18" s="1">
        <f t="shared" si="3"/>
        <v>1000</v>
      </c>
      <c r="L18" s="32">
        <f t="shared" si="4"/>
        <v>0</v>
      </c>
    </row>
    <row r="19" spans="1:18" ht="15.75" thickBot="1" x14ac:dyDescent="0.3">
      <c r="A19" s="1" t="s">
        <v>104</v>
      </c>
      <c r="B19" s="1" t="s">
        <v>109</v>
      </c>
      <c r="C19" s="28" t="s">
        <v>113</v>
      </c>
      <c r="D19" s="1" t="s">
        <v>48</v>
      </c>
      <c r="E19" s="1" t="s">
        <v>122</v>
      </c>
      <c r="F19" s="11">
        <v>1600</v>
      </c>
      <c r="G19" s="1">
        <v>12</v>
      </c>
      <c r="H19" s="17">
        <f t="shared" si="0"/>
        <v>19200</v>
      </c>
      <c r="I19" s="1" t="str">
        <f t="shared" si="1"/>
        <v>5%</v>
      </c>
      <c r="J19" s="10">
        <f t="shared" si="2"/>
        <v>19200</v>
      </c>
      <c r="K19" s="1">
        <f t="shared" si="3"/>
        <v>20000</v>
      </c>
      <c r="L19" s="32">
        <f t="shared" si="4"/>
        <v>19000</v>
      </c>
      <c r="O19" s="56" t="s">
        <v>136</v>
      </c>
      <c r="P19" s="56"/>
      <c r="Q19" s="56"/>
      <c r="R19" s="56"/>
    </row>
    <row r="20" spans="1:18" x14ac:dyDescent="0.25">
      <c r="A20" s="1" t="s">
        <v>105</v>
      </c>
      <c r="B20" s="1" t="s">
        <v>110</v>
      </c>
      <c r="C20" s="28" t="s">
        <v>180</v>
      </c>
      <c r="D20" s="1" t="s">
        <v>50</v>
      </c>
      <c r="E20" s="1" t="s">
        <v>122</v>
      </c>
      <c r="F20" s="11">
        <v>12500</v>
      </c>
      <c r="G20" s="1">
        <v>7</v>
      </c>
      <c r="H20" s="17">
        <f t="shared" si="0"/>
        <v>87500</v>
      </c>
      <c r="I20" s="1" t="str">
        <f t="shared" si="1"/>
        <v>10%</v>
      </c>
      <c r="J20" s="10">
        <f t="shared" si="2"/>
        <v>87500</v>
      </c>
      <c r="K20" s="1">
        <f t="shared" si="3"/>
        <v>88000</v>
      </c>
      <c r="L20" s="32">
        <f t="shared" si="4"/>
        <v>87000</v>
      </c>
      <c r="O20" s="57">
        <f>AVERAGEIFS(H3:H22,B3:B22,"Laptop")</f>
        <v>43087.5</v>
      </c>
      <c r="P20" s="71"/>
      <c r="Q20" s="71"/>
      <c r="R20" s="71"/>
    </row>
    <row r="21" spans="1:18" x14ac:dyDescent="0.25">
      <c r="A21" s="1" t="s">
        <v>106</v>
      </c>
      <c r="B21" s="1" t="s">
        <v>111</v>
      </c>
      <c r="C21" s="28" t="s">
        <v>114</v>
      </c>
      <c r="D21" s="1" t="s">
        <v>52</v>
      </c>
      <c r="E21" s="1" t="s">
        <v>125</v>
      </c>
      <c r="F21" s="11">
        <v>17500</v>
      </c>
      <c r="G21" s="1">
        <v>3</v>
      </c>
      <c r="H21" s="17">
        <f t="shared" si="0"/>
        <v>52500</v>
      </c>
      <c r="I21" s="1" t="str">
        <f t="shared" si="1"/>
        <v>10%</v>
      </c>
      <c r="J21" s="10">
        <f t="shared" si="2"/>
        <v>52500</v>
      </c>
      <c r="K21" s="1">
        <f t="shared" si="3"/>
        <v>53000</v>
      </c>
      <c r="L21" s="32">
        <f t="shared" si="4"/>
        <v>52000</v>
      </c>
    </row>
    <row r="22" spans="1:18" ht="15.75" thickBot="1" x14ac:dyDescent="0.3">
      <c r="A22" s="1" t="s">
        <v>107</v>
      </c>
      <c r="B22" s="1" t="s">
        <v>112</v>
      </c>
      <c r="C22" s="28" t="s">
        <v>115</v>
      </c>
      <c r="D22" s="1" t="s">
        <v>54</v>
      </c>
      <c r="E22" s="1" t="s">
        <v>125</v>
      </c>
      <c r="F22" s="11">
        <v>62000</v>
      </c>
      <c r="G22" s="1">
        <v>2</v>
      </c>
      <c r="H22" s="17">
        <f t="shared" si="0"/>
        <v>124000</v>
      </c>
      <c r="I22" s="1" t="str">
        <f t="shared" si="1"/>
        <v>10%</v>
      </c>
      <c r="J22" s="10">
        <f t="shared" si="2"/>
        <v>124000</v>
      </c>
      <c r="K22" s="1">
        <f t="shared" si="3"/>
        <v>124000</v>
      </c>
      <c r="L22" s="32">
        <f t="shared" si="4"/>
        <v>124000</v>
      </c>
      <c r="O22" s="56" t="s">
        <v>135</v>
      </c>
      <c r="P22" s="56"/>
      <c r="Q22" s="56"/>
      <c r="R22" s="56"/>
    </row>
    <row r="23" spans="1:18" x14ac:dyDescent="0.25">
      <c r="O23" s="63">
        <f>COUNTIFS(C:C,"South",H:H,"&gt;20000")</f>
        <v>4</v>
      </c>
      <c r="P23" s="63"/>
      <c r="Q23" s="63"/>
      <c r="R23" s="63"/>
    </row>
    <row r="25" spans="1:18" ht="15.75" thickBot="1" x14ac:dyDescent="0.3">
      <c r="O25" s="56" t="s">
        <v>129</v>
      </c>
      <c r="P25" s="56"/>
      <c r="Q25" s="56"/>
      <c r="R25" s="56"/>
    </row>
    <row r="26" spans="1:18" x14ac:dyDescent="0.25">
      <c r="C26" s="64" t="s">
        <v>141</v>
      </c>
      <c r="D26" s="64"/>
      <c r="E26" s="64"/>
      <c r="F26" s="64"/>
      <c r="G26" s="64"/>
      <c r="H26" s="64"/>
      <c r="I26" s="64"/>
      <c r="J26" s="64"/>
      <c r="O26" s="63">
        <f>_xlfn.XMATCH("Laptop",B:B)</f>
        <v>3</v>
      </c>
      <c r="P26" s="63"/>
      <c r="Q26" s="63"/>
      <c r="R26" s="63"/>
    </row>
    <row r="27" spans="1:18" x14ac:dyDescent="0.25">
      <c r="C27" s="27" t="s">
        <v>80</v>
      </c>
      <c r="D27" s="12" t="s">
        <v>81</v>
      </c>
      <c r="E27" s="12" t="s">
        <v>82</v>
      </c>
      <c r="F27" s="13" t="s">
        <v>83</v>
      </c>
      <c r="G27" s="12" t="s">
        <v>84</v>
      </c>
      <c r="H27" s="31" t="s">
        <v>85</v>
      </c>
      <c r="I27" s="12" t="s">
        <v>86</v>
      </c>
      <c r="J27" s="33" t="s">
        <v>87</v>
      </c>
    </row>
    <row r="28" spans="1:18" ht="15.75" thickBot="1" x14ac:dyDescent="0.3">
      <c r="C28" t="str" cm="1">
        <f t="array" ref="C28:J31">_xlfn._xlws.FILTER(A3:H22,B3:B22="Laptop")</f>
        <v>P001</v>
      </c>
      <c r="D28" s="1" t="str">
        <v>Laptop</v>
      </c>
      <c r="E28" s="1" t="str">
        <v>North</v>
      </c>
      <c r="F28" s="1" t="str">
        <v>Tej Patel</v>
      </c>
      <c r="G28" s="1" t="str">
        <v>Jan</v>
      </c>
      <c r="H28" s="11">
        <v>55000</v>
      </c>
      <c r="I28" s="1">
        <v>2</v>
      </c>
      <c r="J28" s="14">
        <v>110000</v>
      </c>
      <c r="O28" s="56" t="s">
        <v>128</v>
      </c>
      <c r="P28" s="56"/>
      <c r="Q28" s="56"/>
      <c r="R28" s="56"/>
    </row>
    <row r="29" spans="1:18" x14ac:dyDescent="0.25">
      <c r="C29" t="str">
        <v>P006</v>
      </c>
      <c r="D29" s="1" t="str">
        <v>Laptop</v>
      </c>
      <c r="E29" s="1" t="str">
        <v>South</v>
      </c>
      <c r="F29" s="1" t="str">
        <v>Priya Patel</v>
      </c>
      <c r="G29" s="1" t="str">
        <v>March</v>
      </c>
      <c r="H29" s="11">
        <v>60000</v>
      </c>
      <c r="I29" s="1">
        <v>1</v>
      </c>
      <c r="J29" s="14">
        <v>60000</v>
      </c>
      <c r="O29" s="63">
        <f>INDEX(H:H,MATCH("Diya Patel",D:D,0))</f>
        <v>12000</v>
      </c>
      <c r="P29" s="63"/>
      <c r="Q29" s="63"/>
      <c r="R29" s="63"/>
    </row>
    <row r="30" spans="1:18" x14ac:dyDescent="0.25">
      <c r="C30" t="str">
        <v>P011</v>
      </c>
      <c r="D30" s="1" t="str">
        <v>Laptop</v>
      </c>
      <c r="E30" s="1" t="str">
        <v>East</v>
      </c>
      <c r="F30" s="1" t="str">
        <v>Jay Patel</v>
      </c>
      <c r="G30" s="1" t="str">
        <v>June</v>
      </c>
      <c r="H30" s="11">
        <v>750</v>
      </c>
      <c r="I30" s="1">
        <v>2</v>
      </c>
      <c r="J30" s="15">
        <v>1500</v>
      </c>
    </row>
    <row r="31" spans="1:18" ht="15.75" thickBot="1" x14ac:dyDescent="0.3">
      <c r="C31" t="str">
        <v>P016</v>
      </c>
      <c r="D31" s="1" t="str">
        <v>Laptop</v>
      </c>
      <c r="E31" s="1" t="str">
        <v>West</v>
      </c>
      <c r="F31" s="1" t="str">
        <v>Mansi Patel</v>
      </c>
      <c r="G31" s="1" t="str">
        <v>Aug</v>
      </c>
      <c r="H31" s="11">
        <v>850</v>
      </c>
      <c r="I31" s="1">
        <v>1</v>
      </c>
      <c r="J31" s="15">
        <v>850</v>
      </c>
      <c r="O31" s="56" t="s">
        <v>140</v>
      </c>
      <c r="P31" s="56"/>
      <c r="Q31" s="56"/>
      <c r="R31" s="56"/>
    </row>
    <row r="32" spans="1:18" x14ac:dyDescent="0.25">
      <c r="O32" s="63">
        <f>_xlfn.XMATCH("Printer",B3:B22)</f>
        <v>5</v>
      </c>
      <c r="P32" s="63"/>
      <c r="Q32" s="63"/>
      <c r="R32" s="63"/>
    </row>
    <row r="33" spans="3:29" x14ac:dyDescent="0.25">
      <c r="C33"/>
      <c r="F33"/>
    </row>
    <row r="34" spans="3:29" x14ac:dyDescent="0.25">
      <c r="F34"/>
    </row>
    <row r="35" spans="3:29" x14ac:dyDescent="0.25">
      <c r="F35"/>
    </row>
    <row r="36" spans="3:29" x14ac:dyDescent="0.25">
      <c r="F36"/>
    </row>
    <row r="37" spans="3:29" x14ac:dyDescent="0.25">
      <c r="F37"/>
    </row>
    <row r="38" spans="3:29" x14ac:dyDescent="0.25">
      <c r="F38"/>
    </row>
    <row r="39" spans="3:29" x14ac:dyDescent="0.25">
      <c r="F39"/>
    </row>
    <row r="40" spans="3:29" x14ac:dyDescent="0.25">
      <c r="F40"/>
      <c r="AA40" s="82" t="s">
        <v>188</v>
      </c>
      <c r="AB40" t="s">
        <v>190</v>
      </c>
      <c r="AC40" t="s">
        <v>191</v>
      </c>
    </row>
    <row r="41" spans="3:29" x14ac:dyDescent="0.25">
      <c r="F41"/>
      <c r="AA41" s="83" t="s">
        <v>110</v>
      </c>
      <c r="AB41" s="84">
        <v>233900</v>
      </c>
      <c r="AC41" s="84">
        <v>28800</v>
      </c>
    </row>
    <row r="42" spans="3:29" x14ac:dyDescent="0.25">
      <c r="F42"/>
      <c r="AA42" s="85" t="s">
        <v>119</v>
      </c>
      <c r="AB42" s="84">
        <v>14400</v>
      </c>
      <c r="AC42" s="84">
        <v>1800</v>
      </c>
    </row>
    <row r="43" spans="3:29" x14ac:dyDescent="0.25">
      <c r="F43"/>
      <c r="AA43" s="85" t="s">
        <v>117</v>
      </c>
      <c r="AB43" s="84">
        <v>15000</v>
      </c>
      <c r="AC43" s="84">
        <v>1500</v>
      </c>
    </row>
    <row r="44" spans="3:29" x14ac:dyDescent="0.25">
      <c r="F44"/>
      <c r="AA44" s="85" t="s">
        <v>122</v>
      </c>
      <c r="AB44" s="84">
        <v>87500</v>
      </c>
      <c r="AC44" s="84">
        <v>12500</v>
      </c>
    </row>
    <row r="45" spans="3:29" x14ac:dyDescent="0.25">
      <c r="F45"/>
      <c r="AA45" s="85" t="s">
        <v>124</v>
      </c>
      <c r="AB45" s="84">
        <v>117000</v>
      </c>
      <c r="AC45" s="84">
        <v>13000</v>
      </c>
    </row>
    <row r="46" spans="3:29" x14ac:dyDescent="0.25">
      <c r="F46"/>
      <c r="AA46" s="83" t="s">
        <v>108</v>
      </c>
      <c r="AB46" s="84">
        <v>172350</v>
      </c>
      <c r="AC46" s="84">
        <v>116600</v>
      </c>
    </row>
    <row r="47" spans="3:29" x14ac:dyDescent="0.25">
      <c r="F47"/>
      <c r="AA47" s="85" t="s">
        <v>118</v>
      </c>
      <c r="AB47" s="84">
        <v>60000</v>
      </c>
      <c r="AC47" s="84">
        <v>60000</v>
      </c>
    </row>
    <row r="48" spans="3:29" x14ac:dyDescent="0.25">
      <c r="F48"/>
      <c r="AA48" s="85" t="s">
        <v>116</v>
      </c>
      <c r="AB48" s="84">
        <v>110000</v>
      </c>
      <c r="AC48" s="84">
        <v>55000</v>
      </c>
    </row>
    <row r="49" spans="6:29" x14ac:dyDescent="0.25">
      <c r="F49"/>
      <c r="AA49" s="85" t="s">
        <v>123</v>
      </c>
      <c r="AB49" s="84">
        <v>850</v>
      </c>
      <c r="AC49" s="84">
        <v>850</v>
      </c>
    </row>
    <row r="50" spans="6:29" x14ac:dyDescent="0.25">
      <c r="F50"/>
      <c r="AA50" s="85" t="s">
        <v>121</v>
      </c>
      <c r="AB50" s="84">
        <v>1500</v>
      </c>
      <c r="AC50" s="84">
        <v>750</v>
      </c>
    </row>
    <row r="51" spans="6:29" x14ac:dyDescent="0.25">
      <c r="F51"/>
      <c r="AA51" s="83" t="s">
        <v>111</v>
      </c>
      <c r="AB51" s="84">
        <v>225500</v>
      </c>
      <c r="AC51" s="84">
        <v>59500</v>
      </c>
    </row>
    <row r="52" spans="6:29" x14ac:dyDescent="0.25">
      <c r="F52"/>
      <c r="AA52" s="85" t="s">
        <v>117</v>
      </c>
      <c r="AB52" s="84">
        <v>36000</v>
      </c>
      <c r="AC52" s="84">
        <v>12000</v>
      </c>
    </row>
    <row r="53" spans="6:29" x14ac:dyDescent="0.25">
      <c r="F53"/>
      <c r="AA53" s="85" t="s">
        <v>120</v>
      </c>
      <c r="AB53" s="84">
        <v>52000</v>
      </c>
      <c r="AC53" s="84">
        <v>13000</v>
      </c>
    </row>
    <row r="54" spans="6:29" x14ac:dyDescent="0.25">
      <c r="F54"/>
      <c r="AA54" s="85" t="s">
        <v>125</v>
      </c>
      <c r="AB54" s="84">
        <v>52500</v>
      </c>
      <c r="AC54" s="84">
        <v>17500</v>
      </c>
    </row>
    <row r="55" spans="6:29" x14ac:dyDescent="0.25">
      <c r="F55"/>
      <c r="AA55" s="85" t="s">
        <v>124</v>
      </c>
      <c r="AB55" s="84">
        <v>85000</v>
      </c>
      <c r="AC55" s="84">
        <v>17000</v>
      </c>
    </row>
    <row r="56" spans="6:29" x14ac:dyDescent="0.25">
      <c r="F56"/>
      <c r="AA56" s="83" t="s">
        <v>109</v>
      </c>
      <c r="AB56" s="84">
        <v>78600</v>
      </c>
      <c r="AC56" s="84">
        <v>4950</v>
      </c>
    </row>
    <row r="57" spans="6:29" x14ac:dyDescent="0.25">
      <c r="F57"/>
      <c r="AA57" s="85" t="s">
        <v>119</v>
      </c>
      <c r="AB57" s="84">
        <v>15000</v>
      </c>
      <c r="AC57" s="84">
        <v>750</v>
      </c>
    </row>
    <row r="58" spans="6:29" x14ac:dyDescent="0.25">
      <c r="F58"/>
      <c r="AA58" s="85" t="s">
        <v>116</v>
      </c>
      <c r="AB58" s="84">
        <v>12000</v>
      </c>
      <c r="AC58" s="84">
        <v>800</v>
      </c>
    </row>
    <row r="59" spans="6:29" x14ac:dyDescent="0.25">
      <c r="F59"/>
      <c r="AA59" s="85" t="s">
        <v>122</v>
      </c>
      <c r="AB59" s="84">
        <v>19200</v>
      </c>
      <c r="AC59" s="84">
        <v>1600</v>
      </c>
    </row>
    <row r="60" spans="6:29" x14ac:dyDescent="0.25">
      <c r="F60"/>
      <c r="AA60" s="85" t="s">
        <v>121</v>
      </c>
      <c r="AB60" s="84">
        <v>32400</v>
      </c>
      <c r="AC60" s="84">
        <v>1800</v>
      </c>
    </row>
    <row r="61" spans="6:29" x14ac:dyDescent="0.25">
      <c r="F61"/>
      <c r="AA61" s="83" t="s">
        <v>112</v>
      </c>
      <c r="AB61" s="84">
        <v>456000</v>
      </c>
      <c r="AC61" s="84">
        <v>198000</v>
      </c>
    </row>
    <row r="62" spans="6:29" x14ac:dyDescent="0.25">
      <c r="F62"/>
      <c r="AA62" s="85" t="s">
        <v>118</v>
      </c>
      <c r="AB62" s="84">
        <v>36000</v>
      </c>
      <c r="AC62" s="84">
        <v>18000</v>
      </c>
    </row>
    <row r="63" spans="6:29" x14ac:dyDescent="0.25">
      <c r="AA63" s="85" t="s">
        <v>120</v>
      </c>
      <c r="AB63" s="84">
        <v>180000</v>
      </c>
      <c r="AC63" s="84">
        <v>60000</v>
      </c>
    </row>
    <row r="64" spans="6:29" x14ac:dyDescent="0.25">
      <c r="AA64" s="85" t="s">
        <v>123</v>
      </c>
      <c r="AB64" s="84">
        <v>116000</v>
      </c>
      <c r="AC64" s="84">
        <v>58000</v>
      </c>
    </row>
    <row r="65" spans="27:29" x14ac:dyDescent="0.25">
      <c r="AA65" s="85" t="s">
        <v>125</v>
      </c>
      <c r="AB65" s="84">
        <v>124000</v>
      </c>
      <c r="AC65" s="84">
        <v>62000</v>
      </c>
    </row>
    <row r="66" spans="27:29" x14ac:dyDescent="0.25">
      <c r="AA66" s="83" t="s">
        <v>189</v>
      </c>
      <c r="AB66" s="84">
        <v>1166350</v>
      </c>
      <c r="AC66" s="84">
        <v>407850</v>
      </c>
    </row>
  </sheetData>
  <mergeCells count="34">
    <mergeCell ref="N1:AF2"/>
    <mergeCell ref="F1:F2"/>
    <mergeCell ref="G1:G2"/>
    <mergeCell ref="H1:H2"/>
    <mergeCell ref="A1:A2"/>
    <mergeCell ref="B1:B2"/>
    <mergeCell ref="C1:C2"/>
    <mergeCell ref="D1:D2"/>
    <mergeCell ref="E1:E2"/>
    <mergeCell ref="O31:R31"/>
    <mergeCell ref="O32:R32"/>
    <mergeCell ref="C26:J26"/>
    <mergeCell ref="O13:R13"/>
    <mergeCell ref="O14:R14"/>
    <mergeCell ref="O22:R22"/>
    <mergeCell ref="O23:R23"/>
    <mergeCell ref="O16:R16"/>
    <mergeCell ref="O17:R17"/>
    <mergeCell ref="O25:R25"/>
    <mergeCell ref="O26:R26"/>
    <mergeCell ref="O19:R19"/>
    <mergeCell ref="O20:R20"/>
    <mergeCell ref="O29:R29"/>
    <mergeCell ref="J1:J2"/>
    <mergeCell ref="K1:K2"/>
    <mergeCell ref="L1:L2"/>
    <mergeCell ref="I1:I2"/>
    <mergeCell ref="O28:R28"/>
    <mergeCell ref="O4:R4"/>
    <mergeCell ref="O5:R5"/>
    <mergeCell ref="O7:R7"/>
    <mergeCell ref="O8:R8"/>
    <mergeCell ref="O10:R10"/>
    <mergeCell ref="O11:R11"/>
  </mergeCells>
  <phoneticPr fontId="8" type="noConversion"/>
  <conditionalFormatting sqref="G5">
    <cfRule type="cellIs" dxfId="11" priority="6" operator="greaterThan">
      <formula>10</formula>
    </cfRule>
  </conditionalFormatting>
  <conditionalFormatting sqref="H1:H1048576">
    <cfRule type="top10" dxfId="10" priority="5" rank="10"/>
  </conditionalFormatting>
  <conditionalFormatting sqref="H3:H2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:H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8:J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54913A2-FD17-415E-80AC-6898C1B8F71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'Sales Data'!B1:B22</xm:f>
              <xm:sqref>T27</xm:sqref>
            </x14:sparkline>
          </x14:sparklines>
        </x14:sparklineGroup>
        <x14:sparklineGroup type="column" displayEmptyCellsAs="gap" high="1" low="1" first="1" last="1" negative="1" xr2:uid="{040E0D08-0739-4A92-A5BE-D6DFDD4F1457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'Sales Data'!C1:C22</xm:f>
              <xm:sqref>X29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0F02-0EE9-4144-A098-F283CBAD6262}">
  <dimension ref="A1:AM67"/>
  <sheetViews>
    <sheetView tabSelected="1" zoomScale="106" zoomScaleNormal="106" workbookViewId="0">
      <selection activeCell="K20" sqref="K20"/>
    </sheetView>
  </sheetViews>
  <sheetFormatPr defaultRowHeight="15" x14ac:dyDescent="0.25"/>
  <cols>
    <col min="1" max="1" width="10.7109375" style="10" customWidth="1"/>
    <col min="2" max="2" width="16.140625" style="10" customWidth="1"/>
    <col min="3" max="3" width="13.140625" style="10" customWidth="1"/>
    <col min="4" max="4" width="17.85546875" style="21" customWidth="1"/>
    <col min="5" max="5" width="12.42578125" style="18" customWidth="1"/>
    <col min="6" max="6" width="17.85546875" customWidth="1"/>
    <col min="7" max="7" width="18.140625" customWidth="1"/>
    <col min="8" max="8" width="17" customWidth="1"/>
    <col min="9" max="9" width="14.5703125" customWidth="1"/>
    <col min="10" max="10" width="12.5703125" customWidth="1"/>
    <col min="11" max="11" width="13.28515625" bestFit="1" customWidth="1"/>
    <col min="12" max="12" width="13.5703125" bestFit="1" customWidth="1"/>
    <col min="13" max="13" width="14" customWidth="1"/>
    <col min="14" max="14" width="14.5703125" customWidth="1"/>
  </cols>
  <sheetData>
    <row r="1" spans="1:27" ht="15" customHeight="1" x14ac:dyDescent="0.25">
      <c r="A1" s="76" t="s">
        <v>142</v>
      </c>
      <c r="B1" s="76" t="s">
        <v>143</v>
      </c>
      <c r="C1" s="76" t="s">
        <v>144</v>
      </c>
      <c r="D1" s="77" t="s">
        <v>145</v>
      </c>
      <c r="E1" s="76" t="s">
        <v>69</v>
      </c>
      <c r="F1" s="77" t="s">
        <v>146</v>
      </c>
      <c r="G1" s="76" t="s">
        <v>172</v>
      </c>
      <c r="H1" s="76" t="s">
        <v>173</v>
      </c>
      <c r="I1" s="75" t="s">
        <v>147</v>
      </c>
      <c r="K1" s="79" t="s">
        <v>139</v>
      </c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</row>
    <row r="2" spans="1:27" ht="15" customHeight="1" x14ac:dyDescent="0.25">
      <c r="A2" s="76"/>
      <c r="B2" s="76"/>
      <c r="C2" s="76"/>
      <c r="D2" s="77"/>
      <c r="E2" s="76"/>
      <c r="F2" s="77"/>
      <c r="G2" s="76"/>
      <c r="H2" s="76"/>
      <c r="I2" s="75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</row>
    <row r="3" spans="1:27" x14ac:dyDescent="0.25">
      <c r="A3" s="10" t="s">
        <v>148</v>
      </c>
      <c r="B3" s="1" t="s">
        <v>11</v>
      </c>
      <c r="C3" s="10" t="s">
        <v>168</v>
      </c>
      <c r="D3" s="19">
        <v>38056</v>
      </c>
      <c r="E3" s="5" t="str">
        <f t="shared" ref="E3:E22" ca="1" si="0">DATEDIF(D3,TODAY(),"Y")&amp;" Years"</f>
        <v>22 Years</v>
      </c>
      <c r="F3" s="20">
        <v>45458</v>
      </c>
      <c r="G3" s="5" t="str">
        <f t="shared" ref="G3:G22" ca="1" si="1">DATEDIF(F3,TODAY(),"Y") &amp; " Years " &amp; DATEDIF(F3,TODAY(),"YM") &amp; " Months"</f>
        <v>2 Years 0 Months</v>
      </c>
      <c r="H3" s="1" t="str">
        <f ca="1">DATEDIF(F3,TODAY(),"D") &amp; " Days"</f>
        <v>743 Days</v>
      </c>
      <c r="I3" s="22">
        <v>68000</v>
      </c>
    </row>
    <row r="4" spans="1:27" ht="15.75" thickBot="1" x14ac:dyDescent="0.3">
      <c r="A4" s="10" t="s">
        <v>149</v>
      </c>
      <c r="B4" s="1" t="s">
        <v>15</v>
      </c>
      <c r="C4" s="10" t="s">
        <v>170</v>
      </c>
      <c r="D4" s="20">
        <v>38213</v>
      </c>
      <c r="E4" s="5" t="str">
        <f t="shared" ca="1" si="0"/>
        <v>21 Years</v>
      </c>
      <c r="F4" s="20">
        <v>45459</v>
      </c>
      <c r="G4" s="5" t="str">
        <f t="shared" ca="1" si="1"/>
        <v>2 Years 0 Months</v>
      </c>
      <c r="H4" s="1" t="str">
        <f t="shared" ref="H4:H22" ca="1" si="2">DATEDIF(F4,TODAY(),"D") &amp; " Days"</f>
        <v>742 Days</v>
      </c>
      <c r="I4" s="22">
        <v>65000</v>
      </c>
      <c r="K4" s="80" t="s">
        <v>179</v>
      </c>
      <c r="L4" s="80"/>
      <c r="M4" s="80"/>
      <c r="N4" s="29"/>
      <c r="O4" s="29" t="s">
        <v>174</v>
      </c>
      <c r="P4" s="29"/>
      <c r="Q4" s="29"/>
    </row>
    <row r="5" spans="1:27" x14ac:dyDescent="0.25">
      <c r="A5" s="10" t="s">
        <v>150</v>
      </c>
      <c r="B5" s="1" t="s">
        <v>18</v>
      </c>
      <c r="C5" s="10" t="s">
        <v>169</v>
      </c>
      <c r="D5" s="20">
        <v>36899</v>
      </c>
      <c r="E5" s="5" t="str">
        <f t="shared" ca="1" si="0"/>
        <v>25 Years</v>
      </c>
      <c r="F5" s="20">
        <v>45462</v>
      </c>
      <c r="G5" s="5" t="str">
        <f t="shared" ca="1" si="1"/>
        <v>2 Years 0 Months</v>
      </c>
      <c r="H5" s="1" t="str">
        <f t="shared" ca="1" si="2"/>
        <v>739 Days</v>
      </c>
      <c r="I5" s="22">
        <v>62000</v>
      </c>
      <c r="K5" s="81">
        <f>_xlfn.XLOOKUP("EMP010",A:A,I:I)</f>
        <v>57000</v>
      </c>
      <c r="L5" s="81"/>
      <c r="M5" s="81"/>
      <c r="O5" s="78" t="str">
        <f>_xlfn.XLOOKUP("EMP010",A:A,B:B)</f>
        <v>Kavya Patel</v>
      </c>
      <c r="P5" s="78"/>
      <c r="Q5" s="78"/>
      <c r="R5" s="78"/>
    </row>
    <row r="6" spans="1:27" x14ac:dyDescent="0.25">
      <c r="A6" s="10" t="s">
        <v>151</v>
      </c>
      <c r="B6" s="1" t="s">
        <v>20</v>
      </c>
      <c r="C6" s="10" t="s">
        <v>171</v>
      </c>
      <c r="D6" s="20">
        <v>38447</v>
      </c>
      <c r="E6" s="5" t="str">
        <f t="shared" ca="1" si="0"/>
        <v>21 Years</v>
      </c>
      <c r="F6" s="20">
        <v>45818</v>
      </c>
      <c r="G6" s="5" t="str">
        <f t="shared" ca="1" si="1"/>
        <v>1 Years 0 Months</v>
      </c>
      <c r="H6" s="1" t="str">
        <f t="shared" ca="1" si="2"/>
        <v>383 Days</v>
      </c>
      <c r="I6" s="23">
        <v>35000</v>
      </c>
      <c r="K6" s="10"/>
      <c r="L6" s="10"/>
      <c r="M6" s="21"/>
      <c r="N6" s="18"/>
    </row>
    <row r="7" spans="1:27" ht="15.75" thickBot="1" x14ac:dyDescent="0.3">
      <c r="A7" s="10" t="s">
        <v>152</v>
      </c>
      <c r="B7" s="1" t="s">
        <v>23</v>
      </c>
      <c r="C7" s="10" t="s">
        <v>168</v>
      </c>
      <c r="D7" s="20">
        <v>38548</v>
      </c>
      <c r="E7" s="5" t="str">
        <f t="shared" ca="1" si="0"/>
        <v>20 Years</v>
      </c>
      <c r="F7" s="20">
        <v>45463</v>
      </c>
      <c r="G7" s="5" t="str">
        <f t="shared" ca="1" si="1"/>
        <v>2 Years 0 Months</v>
      </c>
      <c r="H7" s="1" t="str">
        <f t="shared" ca="1" si="2"/>
        <v>738 Days</v>
      </c>
      <c r="I7" s="24">
        <v>55000</v>
      </c>
      <c r="K7" s="56" t="s">
        <v>175</v>
      </c>
      <c r="L7" s="56"/>
      <c r="M7" s="56"/>
      <c r="O7" s="29" t="s">
        <v>177</v>
      </c>
      <c r="P7" s="30"/>
    </row>
    <row r="8" spans="1:27" x14ac:dyDescent="0.25">
      <c r="A8" s="10" t="s">
        <v>153</v>
      </c>
      <c r="B8" s="1" t="s">
        <v>26</v>
      </c>
      <c r="C8" s="10" t="s">
        <v>169</v>
      </c>
      <c r="D8" s="20">
        <v>38677</v>
      </c>
      <c r="E8" s="5" t="str">
        <f t="shared" ca="1" si="0"/>
        <v>20 Years</v>
      </c>
      <c r="F8" s="20">
        <v>46183</v>
      </c>
      <c r="G8" s="5" t="str">
        <f t="shared" ca="1" si="1"/>
        <v>0 Years 0 Months</v>
      </c>
      <c r="H8" s="1" t="str">
        <f t="shared" ca="1" si="2"/>
        <v>18 Days</v>
      </c>
      <c r="I8" s="24">
        <v>42000</v>
      </c>
      <c r="K8" s="62">
        <f ca="1">SUM(INDIRECT(AM67))</f>
        <v>913189</v>
      </c>
      <c r="L8" s="62"/>
      <c r="M8" s="62"/>
      <c r="O8" s="81">
        <f xml:space="preserve"> AVERAGEIF(C:C,"IT",I:I)</f>
        <v>52166.666666666664</v>
      </c>
      <c r="P8" s="81"/>
      <c r="Q8" s="81"/>
      <c r="R8" s="81"/>
    </row>
    <row r="9" spans="1:27" x14ac:dyDescent="0.25">
      <c r="A9" s="10" t="s">
        <v>154</v>
      </c>
      <c r="B9" s="1" t="s">
        <v>28</v>
      </c>
      <c r="C9" s="10" t="s">
        <v>170</v>
      </c>
      <c r="D9" s="20">
        <v>38414</v>
      </c>
      <c r="E9" s="5" t="str">
        <f t="shared" ca="1" si="0"/>
        <v>21 Years</v>
      </c>
      <c r="F9" s="20">
        <v>45820</v>
      </c>
      <c r="G9" s="5" t="str">
        <f t="shared" ca="1" si="1"/>
        <v>1 Years 0 Months</v>
      </c>
      <c r="H9" s="1" t="str">
        <f t="shared" ca="1" si="2"/>
        <v>381 Days</v>
      </c>
      <c r="I9" s="24">
        <v>60000</v>
      </c>
      <c r="K9" s="10"/>
      <c r="L9" s="10"/>
      <c r="M9" s="21"/>
      <c r="N9" s="18"/>
    </row>
    <row r="10" spans="1:27" ht="15.75" thickBot="1" x14ac:dyDescent="0.3">
      <c r="A10" s="10" t="s">
        <v>155</v>
      </c>
      <c r="B10" s="1" t="s">
        <v>30</v>
      </c>
      <c r="C10" s="10" t="s">
        <v>168</v>
      </c>
      <c r="D10" s="20">
        <v>38614</v>
      </c>
      <c r="E10" s="5" t="str">
        <f t="shared" ca="1" si="0"/>
        <v>20 Years</v>
      </c>
      <c r="F10" s="20">
        <v>45461</v>
      </c>
      <c r="G10" s="5" t="str">
        <f t="shared" ca="1" si="1"/>
        <v>2 Years 0 Months</v>
      </c>
      <c r="H10" s="1" t="str">
        <f t="shared" ca="1" si="2"/>
        <v>740 Days</v>
      </c>
      <c r="I10" s="24">
        <v>48000</v>
      </c>
      <c r="K10" s="10"/>
      <c r="L10" s="10"/>
      <c r="M10" s="86" t="s">
        <v>178</v>
      </c>
      <c r="N10" s="86"/>
      <c r="O10" s="86"/>
    </row>
    <row r="11" spans="1:27" x14ac:dyDescent="0.25">
      <c r="A11" s="10" t="s">
        <v>156</v>
      </c>
      <c r="B11" s="1" t="s">
        <v>32</v>
      </c>
      <c r="C11" s="10" t="s">
        <v>171</v>
      </c>
      <c r="D11" s="20">
        <v>38360</v>
      </c>
      <c r="E11" s="5" t="str">
        <f t="shared" ca="1" si="0"/>
        <v>21 Years</v>
      </c>
      <c r="F11" s="20">
        <v>45465</v>
      </c>
      <c r="G11" s="5" t="str">
        <f t="shared" ca="1" si="1"/>
        <v>2 Years 0 Months</v>
      </c>
      <c r="H11" s="1" t="str">
        <f t="shared" ca="1" si="2"/>
        <v>736 Days</v>
      </c>
      <c r="I11" s="23">
        <v>39000</v>
      </c>
      <c r="K11" s="10"/>
      <c r="L11" s="10"/>
      <c r="M11" s="70">
        <f>COUNTIFS(C:C,"HR",I:I,"&gt;35000")</f>
        <v>5</v>
      </c>
      <c r="N11" s="70"/>
      <c r="O11" s="70"/>
      <c r="P11" s="70"/>
    </row>
    <row r="12" spans="1:27" x14ac:dyDescent="0.25">
      <c r="A12" s="10" t="s">
        <v>157</v>
      </c>
      <c r="B12" s="1" t="s">
        <v>34</v>
      </c>
      <c r="C12" s="10" t="s">
        <v>169</v>
      </c>
      <c r="D12" s="20">
        <v>38394</v>
      </c>
      <c r="E12" s="5" t="str">
        <f t="shared" ca="1" si="0"/>
        <v>21 Years</v>
      </c>
      <c r="F12" s="20">
        <v>45816</v>
      </c>
      <c r="G12" s="5" t="str">
        <f t="shared" ca="1" si="1"/>
        <v>1 Years 0 Months</v>
      </c>
      <c r="H12" s="1" t="str">
        <f t="shared" ca="1" si="2"/>
        <v>385 Days</v>
      </c>
      <c r="I12" s="24">
        <v>57000</v>
      </c>
    </row>
    <row r="13" spans="1:27" x14ac:dyDescent="0.25">
      <c r="A13" s="10" t="s">
        <v>158</v>
      </c>
      <c r="B13" s="1" t="s">
        <v>36</v>
      </c>
      <c r="C13" s="10" t="s">
        <v>168</v>
      </c>
      <c r="D13" s="20">
        <v>38711</v>
      </c>
      <c r="E13" s="5" t="str">
        <f t="shared" ca="1" si="0"/>
        <v>20 Years</v>
      </c>
      <c r="F13" s="20">
        <v>45468</v>
      </c>
      <c r="G13" s="5" t="str">
        <f t="shared" ca="1" si="1"/>
        <v>2 Years 0 Months</v>
      </c>
      <c r="H13" s="1" t="str">
        <f t="shared" ca="1" si="2"/>
        <v>733 Days</v>
      </c>
      <c r="I13" s="24">
        <v>52000</v>
      </c>
      <c r="M13" s="82" t="s">
        <v>188</v>
      </c>
      <c r="N13" t="s">
        <v>195</v>
      </c>
    </row>
    <row r="14" spans="1:27" x14ac:dyDescent="0.25">
      <c r="A14" s="10" t="s">
        <v>159</v>
      </c>
      <c r="B14" s="1" t="s">
        <v>38</v>
      </c>
      <c r="C14" s="10" t="s">
        <v>170</v>
      </c>
      <c r="D14" s="20">
        <v>38626</v>
      </c>
      <c r="E14" s="5" t="str">
        <f t="shared" ca="1" si="0"/>
        <v>20 Years</v>
      </c>
      <c r="F14" s="20">
        <v>46182</v>
      </c>
      <c r="G14" s="5" t="str">
        <f t="shared" ca="1" si="1"/>
        <v>0 Years 0 Months</v>
      </c>
      <c r="H14" s="1" t="str">
        <f t="shared" ca="1" si="2"/>
        <v>19 Days</v>
      </c>
      <c r="I14" s="23">
        <v>37000</v>
      </c>
      <c r="M14" s="83" t="s">
        <v>192</v>
      </c>
      <c r="N14" s="84"/>
    </row>
    <row r="15" spans="1:27" x14ac:dyDescent="0.25">
      <c r="A15" s="10" t="s">
        <v>160</v>
      </c>
      <c r="B15" s="1" t="s">
        <v>40</v>
      </c>
      <c r="C15" s="10" t="s">
        <v>171</v>
      </c>
      <c r="D15" s="20">
        <v>38456</v>
      </c>
      <c r="E15" s="5" t="str">
        <f t="shared" ca="1" si="0"/>
        <v>21 Years</v>
      </c>
      <c r="F15" s="20">
        <v>45459</v>
      </c>
      <c r="G15" s="5" t="str">
        <f t="shared" ca="1" si="1"/>
        <v>2 Years 0 Months</v>
      </c>
      <c r="H15" s="1" t="str">
        <f t="shared" ca="1" si="2"/>
        <v>742 Days</v>
      </c>
      <c r="I15" s="24">
        <v>43000</v>
      </c>
      <c r="M15" s="85" t="s">
        <v>169</v>
      </c>
      <c r="N15" s="84">
        <v>42000</v>
      </c>
    </row>
    <row r="16" spans="1:27" x14ac:dyDescent="0.25">
      <c r="A16" s="10" t="s">
        <v>161</v>
      </c>
      <c r="B16" s="1" t="s">
        <v>42</v>
      </c>
      <c r="C16" s="10" t="s">
        <v>169</v>
      </c>
      <c r="D16" s="20">
        <v>38489</v>
      </c>
      <c r="E16" s="5" t="str">
        <f t="shared" ca="1" si="0"/>
        <v>21 Years</v>
      </c>
      <c r="F16" s="20">
        <v>45825</v>
      </c>
      <c r="G16" s="5" t="str">
        <f t="shared" ca="1" si="1"/>
        <v>1 Years 0 Months</v>
      </c>
      <c r="H16" s="1" t="str">
        <f t="shared" ca="1" si="2"/>
        <v>376 Days</v>
      </c>
      <c r="I16" s="24">
        <v>59000</v>
      </c>
      <c r="M16" s="85" t="s">
        <v>170</v>
      </c>
      <c r="N16" s="84">
        <v>94000</v>
      </c>
    </row>
    <row r="17" spans="1:14" x14ac:dyDescent="0.25">
      <c r="A17" s="10" t="s">
        <v>162</v>
      </c>
      <c r="B17" s="1" t="s">
        <v>44</v>
      </c>
      <c r="C17" s="10" t="s">
        <v>168</v>
      </c>
      <c r="D17" s="20">
        <v>38381</v>
      </c>
      <c r="E17" s="5" t="str">
        <f t="shared" ca="1" si="0"/>
        <v>21 Years</v>
      </c>
      <c r="F17" s="20">
        <v>45458</v>
      </c>
      <c r="G17" s="5" t="str">
        <f t="shared" ca="1" si="1"/>
        <v>2 Years 0 Months</v>
      </c>
      <c r="H17" s="1" t="str">
        <f t="shared" ca="1" si="2"/>
        <v>743 Days</v>
      </c>
      <c r="I17" s="23">
        <v>36000</v>
      </c>
      <c r="M17" s="83" t="s">
        <v>193</v>
      </c>
      <c r="N17" s="84"/>
    </row>
    <row r="18" spans="1:14" x14ac:dyDescent="0.25">
      <c r="A18" s="10" t="s">
        <v>163</v>
      </c>
      <c r="B18" s="1" t="s">
        <v>46</v>
      </c>
      <c r="C18" s="10" t="s">
        <v>170</v>
      </c>
      <c r="D18" s="20">
        <v>38555</v>
      </c>
      <c r="E18" s="5" t="str">
        <f t="shared" ca="1" si="0"/>
        <v>20 Years</v>
      </c>
      <c r="F18" s="20">
        <v>46183</v>
      </c>
      <c r="G18" s="5" t="str">
        <f t="shared" ca="1" si="1"/>
        <v>0 Years 0 Months</v>
      </c>
      <c r="H18" s="1" t="str">
        <f t="shared" ca="1" si="2"/>
        <v>18 Days</v>
      </c>
      <c r="I18" s="24">
        <v>57000</v>
      </c>
      <c r="M18" s="85" t="s">
        <v>171</v>
      </c>
      <c r="N18" s="84">
        <v>35000</v>
      </c>
    </row>
    <row r="19" spans="1:14" x14ac:dyDescent="0.25">
      <c r="A19" s="10" t="s">
        <v>164</v>
      </c>
      <c r="B19" s="1" t="s">
        <v>48</v>
      </c>
      <c r="C19" s="10" t="s">
        <v>171</v>
      </c>
      <c r="D19" s="20">
        <v>38580</v>
      </c>
      <c r="E19" s="5" t="str">
        <f t="shared" ca="1" si="0"/>
        <v>20 Years</v>
      </c>
      <c r="F19" s="20">
        <v>45461</v>
      </c>
      <c r="G19" s="5" t="str">
        <f t="shared" ca="1" si="1"/>
        <v>2 Years 0 Months</v>
      </c>
      <c r="H19" s="1" t="str">
        <f t="shared" ca="1" si="2"/>
        <v>740 Days</v>
      </c>
      <c r="I19" s="24">
        <v>41000</v>
      </c>
      <c r="M19" s="85" t="s">
        <v>169</v>
      </c>
      <c r="N19" s="84">
        <v>154000</v>
      </c>
    </row>
    <row r="20" spans="1:14" x14ac:dyDescent="0.25">
      <c r="A20" s="10" t="s">
        <v>165</v>
      </c>
      <c r="B20" s="1" t="s">
        <v>50</v>
      </c>
      <c r="C20" s="10" t="s">
        <v>169</v>
      </c>
      <c r="D20" s="20">
        <v>38665</v>
      </c>
      <c r="E20" s="5" t="str">
        <f t="shared" ca="1" si="0"/>
        <v>20 Years</v>
      </c>
      <c r="F20" s="20">
        <v>45828</v>
      </c>
      <c r="G20" s="5" t="str">
        <f t="shared" ca="1" si="1"/>
        <v>1 Years 0 Months</v>
      </c>
      <c r="H20" s="1" t="str">
        <f t="shared" ca="1" si="2"/>
        <v>373 Days</v>
      </c>
      <c r="I20" s="23">
        <v>38000</v>
      </c>
      <c r="M20" s="85" t="s">
        <v>170</v>
      </c>
      <c r="N20" s="84">
        <v>60000</v>
      </c>
    </row>
    <row r="21" spans="1:14" x14ac:dyDescent="0.25">
      <c r="A21" s="10" t="s">
        <v>166</v>
      </c>
      <c r="B21" s="1" t="s">
        <v>52</v>
      </c>
      <c r="C21" s="10" t="s">
        <v>168</v>
      </c>
      <c r="D21" s="20">
        <v>38688</v>
      </c>
      <c r="E21" s="5" t="str">
        <f t="shared" ca="1" si="0"/>
        <v>20 Years</v>
      </c>
      <c r="F21" s="20">
        <v>45455</v>
      </c>
      <c r="G21" s="5" t="str">
        <f t="shared" ca="1" si="1"/>
        <v>2 Years 0 Months</v>
      </c>
      <c r="H21" s="1" t="str">
        <f t="shared" ca="1" si="2"/>
        <v>746 Days</v>
      </c>
      <c r="I21" s="24">
        <v>54000</v>
      </c>
      <c r="M21" s="83" t="s">
        <v>194</v>
      </c>
      <c r="N21" s="84"/>
    </row>
    <row r="22" spans="1:14" x14ac:dyDescent="0.25">
      <c r="A22" s="10" t="s">
        <v>167</v>
      </c>
      <c r="B22" s="1" t="s">
        <v>54</v>
      </c>
      <c r="C22" s="10" t="s">
        <v>170</v>
      </c>
      <c r="D22" s="20">
        <v>38441</v>
      </c>
      <c r="E22" s="5" t="str">
        <f t="shared" ca="1" si="0"/>
        <v>21 Years</v>
      </c>
      <c r="F22" s="20">
        <v>45465</v>
      </c>
      <c r="G22" s="5" t="str">
        <f t="shared" ca="1" si="1"/>
        <v>2 Years 0 Months</v>
      </c>
      <c r="H22" s="1" t="str">
        <f t="shared" ca="1" si="2"/>
        <v>736 Days</v>
      </c>
      <c r="I22" s="24">
        <v>46000</v>
      </c>
      <c r="M22" s="85" t="s">
        <v>171</v>
      </c>
      <c r="N22" s="84">
        <v>123000</v>
      </c>
    </row>
    <row r="23" spans="1:14" x14ac:dyDescent="0.25">
      <c r="M23" s="85" t="s">
        <v>169</v>
      </c>
      <c r="N23" s="84">
        <v>62000</v>
      </c>
    </row>
    <row r="24" spans="1:14" x14ac:dyDescent="0.25">
      <c r="M24" s="85" t="s">
        <v>168</v>
      </c>
      <c r="N24" s="84">
        <v>313000</v>
      </c>
    </row>
    <row r="25" spans="1:14" ht="15" customHeight="1" x14ac:dyDescent="0.25">
      <c r="M25" s="85" t="s">
        <v>170</v>
      </c>
      <c r="N25" s="84">
        <v>111000</v>
      </c>
    </row>
    <row r="26" spans="1:14" ht="15" customHeight="1" x14ac:dyDescent="0.25">
      <c r="M26" s="83" t="s">
        <v>189</v>
      </c>
      <c r="N26" s="84">
        <v>994000</v>
      </c>
    </row>
    <row r="27" spans="1:14" ht="15" customHeight="1" x14ac:dyDescent="0.25"/>
    <row r="28" spans="1:14" ht="15" customHeight="1" x14ac:dyDescent="0.25">
      <c r="I28" s="29"/>
      <c r="J28" s="29"/>
    </row>
    <row r="31" spans="1:14" x14ac:dyDescent="0.25">
      <c r="J31" s="29"/>
    </row>
    <row r="67" spans="39:39" x14ac:dyDescent="0.25">
      <c r="AM67" t="s">
        <v>176</v>
      </c>
    </row>
  </sheetData>
  <mergeCells count="17">
    <mergeCell ref="K4:M4"/>
    <mergeCell ref="K5:M5"/>
    <mergeCell ref="K7:M7"/>
    <mergeCell ref="K8:M8"/>
    <mergeCell ref="O5:R5"/>
    <mergeCell ref="M11:P11"/>
    <mergeCell ref="K1:AA2"/>
    <mergeCell ref="O8:R8"/>
    <mergeCell ref="I1:I2"/>
    <mergeCell ref="E1:E2"/>
    <mergeCell ref="G1:G2"/>
    <mergeCell ref="H1:H2"/>
    <mergeCell ref="A1:A2"/>
    <mergeCell ref="B1:B2"/>
    <mergeCell ref="C1:C2"/>
    <mergeCell ref="F1:F2"/>
    <mergeCell ref="D1:D2"/>
  </mergeCells>
  <phoneticPr fontId="8" type="noConversion"/>
  <conditionalFormatting sqref="C3:C22">
    <cfRule type="cellIs" dxfId="0" priority="4" operator="equal">
      <formula>"IT"</formula>
    </cfRule>
    <cfRule type="cellIs" dxfId="1" priority="3" operator="equal">
      <formula>"HR"</formula>
    </cfRule>
    <cfRule type="cellIs" dxfId="2" priority="2" operator="equal">
      <formula>"Finance"</formula>
    </cfRule>
    <cfRule type="cellIs" dxfId="3" priority="1" operator="equal">
      <formula>"Sales"</formula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Data</vt:lpstr>
      <vt:lpstr>Sales Data</vt:lpstr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Patel</cp:lastModifiedBy>
  <dcterms:created xsi:type="dcterms:W3CDTF">2026-06-13T03:37:16Z</dcterms:created>
  <dcterms:modified xsi:type="dcterms:W3CDTF">2026-06-28T16:25:16Z</dcterms:modified>
</cp:coreProperties>
</file>